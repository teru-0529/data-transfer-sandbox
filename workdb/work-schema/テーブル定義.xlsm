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\workdb\table\"/>
    </mc:Choice>
  </mc:AlternateContent>
  <xr:revisionPtr revIDLastSave="0" documentId="13_ncr:1_{BDF9F9E0-F291-4BB0-97B9-72298D5198AE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受注番号" sheetId="245" r:id="rId4"/>
    <sheet name="商品ID" sheetId="246" r:id="rId5"/>
    <sheet name="WORK" sheetId="5" state="hidden" r:id="rId6"/>
  </sheets>
  <functionGroups builtInGroupCount="19"/>
  <definedNames>
    <definedName name="CURRENT_DATETIME">45675.9676851852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受注番号!$D$1</definedName>
    <definedName name="ERRORS" localSheetId="4">商品ID!$D$1</definedName>
    <definedName name="FIELD_AREA" localSheetId="2">テンプレート!$AI$6:$AJ$105</definedName>
    <definedName name="FIELD_AREA" localSheetId="3">受注番号!$AI$6:$AJ$105</definedName>
    <definedName name="FIELD_AREA" localSheetId="4">商品ID!$AI$6:$AJ$105</definedName>
    <definedName name="FIELD_COUNT" localSheetId="2">テンプレート!$AI$5</definedName>
    <definedName name="FIELD_COUNT" localSheetId="3">受注番号!$AI$5</definedName>
    <definedName name="FIELD_COUNT" localSheetId="4">商品ID!$AI$5</definedName>
    <definedName name="FIELD_COUNT">#REF!</definedName>
    <definedName name="FIELD_COUNT_NN" localSheetId="2">テンプレート!$AJ$5</definedName>
    <definedName name="FIELD_COUNT_NN" localSheetId="3">受注番号!$AJ$5</definedName>
    <definedName name="FIELD_COUNT_NN" localSheetId="4">商品ID!$AJ$5</definedName>
    <definedName name="FIELD_COUNT_NN">#REF!</definedName>
    <definedName name="FIELD_NAME" localSheetId="2">テンプレート!$B$6:$B$105</definedName>
    <definedName name="FIELD_NAME" localSheetId="3">受注番号!$B$6:$B$105</definedName>
    <definedName name="FIELD_NAME" localSheetId="4">商品ID!$B$6:$B$105</definedName>
    <definedName name="FIELD_NAME">#REF!</definedName>
    <definedName name="FIELD_NAME__" localSheetId="2">OFFSET(テンプレート!FIELD_NAME,,,,2)</definedName>
    <definedName name="FIELD_NAME__" localSheetId="3">OFFSET(受注番号!FIELD_NAME,,,,2)</definedName>
    <definedName name="FIELD_NAME__" localSheetId="4">OFFSET(商品ID!FIELD_NAME,,,,2)</definedName>
    <definedName name="FIELD_NN" localSheetId="2">テンプレート!$E$6:$E$105</definedName>
    <definedName name="FIELD_NN" localSheetId="3">受注番号!$E$6:$E$105</definedName>
    <definedName name="FIELD_NN" localSheetId="4">商品ID!$E$6:$E$105</definedName>
    <definedName name="FIELDリスト" localSheetId="2">OFFSET(テンプレート!$AI$6,,,テンプレート!FIELD_COUNT,)</definedName>
    <definedName name="FIELDリスト" localSheetId="3">OFFSET(受注番号!$AI$6,,,受注番号!FIELD_COUNT,)</definedName>
    <definedName name="FIELDリスト" localSheetId="4">OFFSET(商品ID!$AI$6,,,商品ID!FIELD_COUNT,)</definedName>
    <definedName name="FIELDリストNN" localSheetId="2">OFFSET(テンプレート!$AJ$6,,,テンプレート!FIELD_COUNT_NN,)</definedName>
    <definedName name="FIELDリストNN" localSheetId="3">OFFSET(受注番号!$AJ$6,,,受注番号!FIELD_COUNT_NN,)</definedName>
    <definedName name="FIELDリストNN" localSheetId="4">OFFSET(商品ID!$AJ$6,,,商品ID!FIELD_COUNT_NN,)</definedName>
    <definedName name="FK_ENABLE_1" localSheetId="2">テンプレート!$AL$106:$AL$116</definedName>
    <definedName name="FK_ENABLE_1" localSheetId="3">受注番号!$AL$106:$AL$116</definedName>
    <definedName name="FK_ENABLE_1" localSheetId="4">商品ID!$AL$106:$AL$116</definedName>
    <definedName name="FK_ENABLE_2" localSheetId="2">テンプレート!$AM$106:$AM$116</definedName>
    <definedName name="FK_ENABLE_2" localSheetId="3">受注番号!$AM$106:$AM$116</definedName>
    <definedName name="FK_ENABLE_2" localSheetId="4">商品ID!$AM$106:$AM$116</definedName>
    <definedName name="FK_ENABLE_3" localSheetId="2">テンプレート!$AN$106:$AN$116</definedName>
    <definedName name="FK_ENABLE_3" localSheetId="3">受注番号!$AN$106:$AN$116</definedName>
    <definedName name="FK_ENABLE_3" localSheetId="4">商品ID!$AN$106:$AN$116</definedName>
    <definedName name="FK_ENABLE_4" localSheetId="2">テンプレート!$AO$106:$AO$116</definedName>
    <definedName name="FK_ENABLE_4" localSheetId="3">受注番号!$AO$106:$AO$116</definedName>
    <definedName name="FK_ENABLE_4" localSheetId="4">商品ID!$AO$106:$AO$116</definedName>
    <definedName name="FK_ENABLE_5" localSheetId="2">テンプレート!$AP$106:$AP$116</definedName>
    <definedName name="FK_ENABLE_5" localSheetId="3">受注番号!$AP$106:$AP$116</definedName>
    <definedName name="FK_ENABLE_5" localSheetId="4">商品ID!$AP$106:$AP$116</definedName>
    <definedName name="FK_FIELD_1" localSheetId="2">OFFSET(テンプレート!$AL$6,,,テンプレート!$AL$5,)</definedName>
    <definedName name="FK_FIELD_1" localSheetId="3">OFFSET(受注番号!$AL$6,,,受注番号!$AL$5,)</definedName>
    <definedName name="FK_FIELD_1" localSheetId="4">OFFSET(商品ID!$AL$6,,,商品ID!$AL$5,)</definedName>
    <definedName name="FK_FIELD_2" localSheetId="2">OFFSET(テンプレート!$AM$6,,,テンプレート!$AM$5,)</definedName>
    <definedName name="FK_FIELD_2" localSheetId="3">OFFSET(受注番号!$AM$6,,,受注番号!$AM$5,)</definedName>
    <definedName name="FK_FIELD_2" localSheetId="4">OFFSET(商品ID!$AM$6,,,商品ID!$AM$5,)</definedName>
    <definedName name="FK_FIELD_3" localSheetId="2">OFFSET(テンプレート!$AN$6,,,テンプレート!$AN$5,)</definedName>
    <definedName name="FK_FIELD_3" localSheetId="3">OFFSET(受注番号!$AN$6,,,受注番号!$AN$5,)</definedName>
    <definedName name="FK_FIELD_3" localSheetId="4">OFFSET(商品ID!$AN$6,,,商品ID!$AN$5,)</definedName>
    <definedName name="FK_FIELD_4" localSheetId="2">OFFSET(テンプレート!$AO$6,,,テンプレート!$AO$5,)</definedName>
    <definedName name="FK_FIELD_4" localSheetId="3">OFFSET(受注番号!$AO$6,,,受注番号!$AO$5,)</definedName>
    <definedName name="FK_FIELD_4" localSheetId="4">OFFSET(商品ID!$AO$6,,,商品ID!$AO$5,)</definedName>
    <definedName name="FK_FIELD_5" localSheetId="2">OFFSET(テンプレート!$AP$6,,,テンプレート!$AP$5,)</definedName>
    <definedName name="FK_FIELD_5" localSheetId="3">OFFSET(受注番号!$AP$6,,,受注番号!$AP$5,)</definedName>
    <definedName name="FK_FIELD_5" localSheetId="4">OFFSET(商品ID!$AP$6,,,商品ID!$AP$5,)</definedName>
    <definedName name="FK_OPTION">WORK!$E$6:$E$9</definedName>
    <definedName name="INVALID">FALSE</definedName>
    <definedName name="IS_MASTER" localSheetId="2">テンプレート!$F$2</definedName>
    <definedName name="IS_MASTER" localSheetId="3">受注番号!$F$2</definedName>
    <definedName name="IS_MASTER" localSheetId="4">商品ID!$F$2</definedName>
    <definedName name="MODIFY_DATETIME">45675.9676851852</definedName>
    <definedName name="PK_AREA" localSheetId="2">テンプレート!$L$8:$P$8</definedName>
    <definedName name="PK_AREA" localSheetId="3">受注番号!$L$8:$P$8</definedName>
    <definedName name="PK_AREA" localSheetId="4">商品ID!$L$8:$P$8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受注番号!$AK$6:$AK$105</definedName>
    <definedName name="TABLE_AREA" localSheetId="4">商品ID!$AK$6:$AK$105</definedName>
    <definedName name="TABLE_COUNT" localSheetId="2">テンプレート!$AK$5</definedName>
    <definedName name="TABLE_COUNT" localSheetId="3">受注番号!$AK$5</definedName>
    <definedName name="TABLE_COUNT" localSheetId="4">商品ID!$AK$5</definedName>
    <definedName name="TABLE_COUNT">#REF!</definedName>
    <definedName name="TABLE_EN" localSheetId="2">テンプレート!$C$2</definedName>
    <definedName name="TABLE_EN" localSheetId="3">受注番号!$C$2</definedName>
    <definedName name="TABLE_EN" localSheetId="4">商品ID!$C$2</definedName>
    <definedName name="TABLE_JP" localSheetId="2">テンプレート!$B$2</definedName>
    <definedName name="TABLE_JP" localSheetId="3">受注番号!$B$2</definedName>
    <definedName name="TABLE_JP" localSheetId="4">商品ID!$B$2</definedName>
    <definedName name="TABLE_NO" localSheetId="2">テンプレート!$D$2</definedName>
    <definedName name="TABLE_NO" localSheetId="3">受注番号!$D$2</definedName>
    <definedName name="TABLE_NO" localSheetId="4">商品ID!$D$2</definedName>
    <definedName name="TABLEリスト" localSheetId="2">OFFSET(テンプレート!$AK$6,,,テンプレート!TABLE_COUNT,)</definedName>
    <definedName name="TABLEリスト" localSheetId="3">OFFSET(受注番号!$AK$6,,,受注番号!TABLE_COUNT,)</definedName>
    <definedName name="TABLEリスト" localSheetId="4">OFFSET(商品ID!$AK$6,,,商品ID!TABLE_COUNT,)</definedName>
    <definedName name="UNIQUE_AREA" localSheetId="2">テンプレート!$L$13:$P$22</definedName>
    <definedName name="UNIQUE_AREA" localSheetId="3">受注番号!$L$13:$P$22</definedName>
    <definedName name="UNIQUE_AREA" localSheetId="4">商品ID!$L$13:$P$22</definedName>
    <definedName name="UNIQUE_EXIST" localSheetId="2">テンプレート!$R$11</definedName>
    <definedName name="UNIQUE_EXIST" localSheetId="3">受注番号!$R$11</definedName>
    <definedName name="UNIQUE_EXIST" localSheetId="4">商品ID!$R$11</definedName>
    <definedName name="UNIQUE_LIST" localSheetId="2">テンプレート!$R$13:$R$22</definedName>
    <definedName name="UNIQUE_LIST" localSheetId="3">受注番号!$R$13:$R$22</definedName>
    <definedName name="UNIQUE_LIST" localSheetId="4">商品ID!$R$13:$R$22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46" l="1"/>
  <c r="T105" i="246"/>
  <c r="H105" i="246"/>
  <c r="G105" i="246"/>
  <c r="D105" i="246"/>
  <c r="C105" i="246"/>
  <c r="U104" i="246"/>
  <c r="T104" i="246"/>
  <c r="H104" i="246"/>
  <c r="G104" i="246"/>
  <c r="D104" i="246"/>
  <c r="C104" i="246"/>
  <c r="U103" i="246"/>
  <c r="T103" i="246"/>
  <c r="H103" i="246"/>
  <c r="G103" i="246"/>
  <c r="D103" i="246"/>
  <c r="C103" i="246"/>
  <c r="U102" i="246"/>
  <c r="T102" i="246"/>
  <c r="H102" i="246"/>
  <c r="G102" i="246"/>
  <c r="D102" i="246"/>
  <c r="C102" i="246"/>
  <c r="U101" i="246"/>
  <c r="T101" i="246"/>
  <c r="H101" i="246"/>
  <c r="G101" i="246"/>
  <c r="D101" i="246"/>
  <c r="C101" i="246"/>
  <c r="U100" i="246"/>
  <c r="T100" i="246"/>
  <c r="H100" i="246"/>
  <c r="G100" i="246"/>
  <c r="D100" i="246"/>
  <c r="C100" i="246"/>
  <c r="U99" i="246"/>
  <c r="T99" i="246"/>
  <c r="H99" i="246"/>
  <c r="G99" i="246"/>
  <c r="D99" i="246"/>
  <c r="C99" i="246"/>
  <c r="U98" i="246"/>
  <c r="T98" i="246"/>
  <c r="H98" i="246"/>
  <c r="G98" i="246"/>
  <c r="D98" i="246"/>
  <c r="C98" i="246"/>
  <c r="U97" i="246"/>
  <c r="T97" i="246"/>
  <c r="H97" i="246"/>
  <c r="G97" i="246"/>
  <c r="D97" i="246"/>
  <c r="C97" i="246"/>
  <c r="U96" i="246"/>
  <c r="T96" i="246"/>
  <c r="H96" i="246"/>
  <c r="G96" i="246"/>
  <c r="D96" i="246"/>
  <c r="C96" i="246"/>
  <c r="U95" i="246"/>
  <c r="T95" i="246"/>
  <c r="H95" i="246"/>
  <c r="G95" i="246"/>
  <c r="D95" i="246"/>
  <c r="C95" i="246"/>
  <c r="U94" i="246"/>
  <c r="T94" i="246"/>
  <c r="H94" i="246"/>
  <c r="G94" i="246"/>
  <c r="D94" i="246"/>
  <c r="C94" i="246"/>
  <c r="U93" i="246"/>
  <c r="T93" i="246"/>
  <c r="H93" i="246"/>
  <c r="G93" i="246"/>
  <c r="D93" i="246"/>
  <c r="C93" i="246"/>
  <c r="U92" i="246"/>
  <c r="T92" i="246"/>
  <c r="H92" i="246"/>
  <c r="G92" i="246"/>
  <c r="D92" i="246"/>
  <c r="C92" i="246"/>
  <c r="U91" i="246"/>
  <c r="T91" i="246"/>
  <c r="H91" i="246"/>
  <c r="G91" i="246"/>
  <c r="D91" i="246"/>
  <c r="C91" i="246"/>
  <c r="U90" i="246"/>
  <c r="T90" i="246"/>
  <c r="H90" i="246"/>
  <c r="G90" i="246"/>
  <c r="D90" i="246"/>
  <c r="C90" i="246"/>
  <c r="U89" i="246"/>
  <c r="T89" i="246"/>
  <c r="H89" i="246"/>
  <c r="G89" i="246"/>
  <c r="D89" i="246"/>
  <c r="C89" i="246"/>
  <c r="U88" i="246"/>
  <c r="T88" i="246"/>
  <c r="H88" i="246"/>
  <c r="G88" i="246"/>
  <c r="D88" i="246"/>
  <c r="C88" i="246"/>
  <c r="U87" i="246"/>
  <c r="T87" i="246"/>
  <c r="H87" i="246"/>
  <c r="G87" i="246"/>
  <c r="D87" i="246"/>
  <c r="C87" i="246"/>
  <c r="U86" i="246"/>
  <c r="T86" i="246"/>
  <c r="H86" i="246"/>
  <c r="G86" i="246"/>
  <c r="D86" i="246"/>
  <c r="C86" i="246"/>
  <c r="U85" i="246"/>
  <c r="T85" i="246"/>
  <c r="H85" i="246"/>
  <c r="G85" i="246"/>
  <c r="D85" i="246"/>
  <c r="C85" i="246"/>
  <c r="U84" i="246"/>
  <c r="T84" i="246"/>
  <c r="H84" i="246"/>
  <c r="G84" i="246"/>
  <c r="D84" i="246"/>
  <c r="C84" i="246"/>
  <c r="U83" i="246"/>
  <c r="T83" i="246"/>
  <c r="H83" i="246"/>
  <c r="G83" i="246"/>
  <c r="D83" i="246"/>
  <c r="C83" i="246"/>
  <c r="U82" i="246"/>
  <c r="T82" i="246"/>
  <c r="H82" i="246"/>
  <c r="G82" i="246"/>
  <c r="D82" i="246"/>
  <c r="C82" i="246"/>
  <c r="U81" i="246"/>
  <c r="T81" i="246"/>
  <c r="H81" i="246"/>
  <c r="G81" i="246"/>
  <c r="D81" i="246"/>
  <c r="C81" i="246"/>
  <c r="U80" i="246"/>
  <c r="T80" i="246"/>
  <c r="H80" i="246"/>
  <c r="G80" i="246"/>
  <c r="D80" i="246"/>
  <c r="C80" i="246"/>
  <c r="U79" i="246"/>
  <c r="T79" i="246"/>
  <c r="H79" i="246"/>
  <c r="G79" i="246"/>
  <c r="D79" i="246"/>
  <c r="C79" i="246"/>
  <c r="U78" i="246"/>
  <c r="T78" i="246"/>
  <c r="H78" i="246"/>
  <c r="G78" i="246"/>
  <c r="D78" i="246"/>
  <c r="C78" i="246"/>
  <c r="U77" i="246"/>
  <c r="T77" i="246"/>
  <c r="H77" i="246"/>
  <c r="G77" i="246"/>
  <c r="D77" i="246"/>
  <c r="C77" i="246"/>
  <c r="U76" i="246"/>
  <c r="T76" i="246"/>
  <c r="H76" i="246"/>
  <c r="G76" i="246"/>
  <c r="D76" i="246"/>
  <c r="C76" i="246"/>
  <c r="U75" i="246"/>
  <c r="T75" i="246"/>
  <c r="H75" i="246"/>
  <c r="G75" i="246"/>
  <c r="D75" i="246"/>
  <c r="C75" i="246"/>
  <c r="U74" i="246"/>
  <c r="T74" i="246"/>
  <c r="H74" i="246"/>
  <c r="G74" i="246"/>
  <c r="D74" i="246"/>
  <c r="C74" i="246"/>
  <c r="U73" i="246"/>
  <c r="T73" i="246"/>
  <c r="H73" i="246"/>
  <c r="G73" i="246"/>
  <c r="D73" i="246"/>
  <c r="C73" i="246"/>
  <c r="U72" i="246"/>
  <c r="T72" i="246"/>
  <c r="H72" i="246"/>
  <c r="G72" i="246"/>
  <c r="D72" i="246"/>
  <c r="C72" i="246"/>
  <c r="U71" i="246"/>
  <c r="T71" i="246"/>
  <c r="H71" i="246"/>
  <c r="G71" i="246"/>
  <c r="D71" i="246"/>
  <c r="C71" i="246"/>
  <c r="U70" i="246"/>
  <c r="T70" i="246"/>
  <c r="H70" i="246"/>
  <c r="G70" i="246"/>
  <c r="D70" i="246"/>
  <c r="C70" i="246"/>
  <c r="U69" i="246"/>
  <c r="T69" i="246"/>
  <c r="H69" i="246"/>
  <c r="G69" i="246"/>
  <c r="D69" i="246"/>
  <c r="C69" i="246"/>
  <c r="U68" i="246"/>
  <c r="T68" i="246"/>
  <c r="H68" i="246"/>
  <c r="G68" i="246"/>
  <c r="D68" i="246"/>
  <c r="C68" i="246"/>
  <c r="U67" i="246"/>
  <c r="T67" i="246"/>
  <c r="H67" i="246"/>
  <c r="G67" i="246"/>
  <c r="D67" i="246"/>
  <c r="C67" i="246"/>
  <c r="U66" i="246"/>
  <c r="T66" i="246"/>
  <c r="H66" i="246"/>
  <c r="G66" i="246"/>
  <c r="D66" i="246"/>
  <c r="C66" i="246"/>
  <c r="U65" i="246"/>
  <c r="T65" i="246"/>
  <c r="H65" i="246"/>
  <c r="G65" i="246"/>
  <c r="D65" i="246"/>
  <c r="C65" i="246"/>
  <c r="U64" i="246"/>
  <c r="T64" i="246"/>
  <c r="H64" i="246"/>
  <c r="G64" i="246"/>
  <c r="D64" i="246"/>
  <c r="C64" i="246"/>
  <c r="U63" i="246"/>
  <c r="T63" i="246"/>
  <c r="R63" i="246"/>
  <c r="AD63" i="246" s="1"/>
  <c r="H63" i="246"/>
  <c r="G63" i="246"/>
  <c r="D63" i="246"/>
  <c r="C63" i="246"/>
  <c r="U62" i="246"/>
  <c r="T62" i="246"/>
  <c r="H62" i="246"/>
  <c r="G62" i="246"/>
  <c r="D62" i="246"/>
  <c r="C62" i="246"/>
  <c r="U61" i="246"/>
  <c r="T61" i="246"/>
  <c r="R61" i="246"/>
  <c r="AD61" i="246" s="1"/>
  <c r="H61" i="246"/>
  <c r="G61" i="246"/>
  <c r="D61" i="246"/>
  <c r="C61" i="246"/>
  <c r="U60" i="246"/>
  <c r="T60" i="246"/>
  <c r="H60" i="246"/>
  <c r="G60" i="246"/>
  <c r="D60" i="246"/>
  <c r="C60" i="246"/>
  <c r="U59" i="246"/>
  <c r="T59" i="246"/>
  <c r="R59" i="246"/>
  <c r="AD59" i="246" s="1"/>
  <c r="H59" i="246"/>
  <c r="G59" i="246"/>
  <c r="D59" i="246"/>
  <c r="C59" i="246"/>
  <c r="U58" i="246"/>
  <c r="T58" i="246"/>
  <c r="H58" i="246"/>
  <c r="G58" i="246"/>
  <c r="D58" i="246"/>
  <c r="C58" i="246"/>
  <c r="U57" i="246"/>
  <c r="T57" i="246"/>
  <c r="R57" i="246"/>
  <c r="AD57" i="246" s="1"/>
  <c r="H57" i="246"/>
  <c r="G57" i="246"/>
  <c r="D57" i="246"/>
  <c r="C57" i="246"/>
  <c r="U56" i="246"/>
  <c r="T56" i="246"/>
  <c r="H56" i="246"/>
  <c r="G56" i="246"/>
  <c r="D56" i="246"/>
  <c r="C56" i="246"/>
  <c r="U55" i="246"/>
  <c r="T55" i="246"/>
  <c r="R55" i="246"/>
  <c r="AD55" i="246" s="1"/>
  <c r="H55" i="246"/>
  <c r="G55" i="246"/>
  <c r="D55" i="246"/>
  <c r="C55" i="246"/>
  <c r="U54" i="246"/>
  <c r="T54" i="246"/>
  <c r="H54" i="246"/>
  <c r="G54" i="246"/>
  <c r="D54" i="246"/>
  <c r="C54" i="246"/>
  <c r="U53" i="246"/>
  <c r="T53" i="246"/>
  <c r="H53" i="246"/>
  <c r="G53" i="246"/>
  <c r="D53" i="246"/>
  <c r="C53" i="246"/>
  <c r="U52" i="246"/>
  <c r="T52" i="246"/>
  <c r="H52" i="246"/>
  <c r="G52" i="246"/>
  <c r="D52" i="246"/>
  <c r="C52" i="246"/>
  <c r="U51" i="246"/>
  <c r="T51" i="246"/>
  <c r="H51" i="246"/>
  <c r="G51" i="246"/>
  <c r="D51" i="246"/>
  <c r="C51" i="246"/>
  <c r="AC50" i="246"/>
  <c r="AB50" i="246"/>
  <c r="AA50" i="246"/>
  <c r="Z50" i="246"/>
  <c r="Y50" i="246"/>
  <c r="U50" i="246"/>
  <c r="T50" i="246"/>
  <c r="H50" i="246"/>
  <c r="G50" i="246"/>
  <c r="D50" i="246"/>
  <c r="C50" i="246"/>
  <c r="AC49" i="246"/>
  <c r="AB49" i="246"/>
  <c r="AA49" i="246"/>
  <c r="Z49" i="246"/>
  <c r="Y49" i="246"/>
  <c r="U49" i="246"/>
  <c r="T49" i="246"/>
  <c r="R49" i="246"/>
  <c r="H49" i="246"/>
  <c r="G49" i="246"/>
  <c r="D49" i="246"/>
  <c r="C49" i="246"/>
  <c r="U48" i="246"/>
  <c r="T48" i="246"/>
  <c r="H48" i="246"/>
  <c r="G48" i="246"/>
  <c r="D48" i="246"/>
  <c r="C48" i="246"/>
  <c r="U47" i="246"/>
  <c r="T47" i="246"/>
  <c r="S47" i="246"/>
  <c r="R47" i="246"/>
  <c r="H47" i="246"/>
  <c r="G47" i="246"/>
  <c r="D47" i="246"/>
  <c r="C47" i="246"/>
  <c r="AD46" i="246"/>
  <c r="U46" i="246"/>
  <c r="T46" i="246"/>
  <c r="H46" i="246"/>
  <c r="G46" i="246"/>
  <c r="D46" i="246"/>
  <c r="C46" i="246"/>
  <c r="AC45" i="246"/>
  <c r="AB45" i="246"/>
  <c r="AA45" i="246"/>
  <c r="Z45" i="246"/>
  <c r="Y45" i="246"/>
  <c r="U45" i="246"/>
  <c r="T45" i="246"/>
  <c r="H45" i="246"/>
  <c r="G45" i="246"/>
  <c r="D45" i="246"/>
  <c r="C45" i="246"/>
  <c r="AC44" i="246"/>
  <c r="AB44" i="246"/>
  <c r="AA44" i="246"/>
  <c r="Z44" i="246"/>
  <c r="Y44" i="246"/>
  <c r="U44" i="246"/>
  <c r="T44" i="246"/>
  <c r="R44" i="246"/>
  <c r="H44" i="246"/>
  <c r="G44" i="246"/>
  <c r="D44" i="246"/>
  <c r="C44" i="246"/>
  <c r="U43" i="246"/>
  <c r="T43" i="246"/>
  <c r="H43" i="246"/>
  <c r="G43" i="246"/>
  <c r="D43" i="246"/>
  <c r="C43" i="246"/>
  <c r="U42" i="246"/>
  <c r="T42" i="246"/>
  <c r="R42" i="246"/>
  <c r="AD41" i="246" s="1"/>
  <c r="H42" i="246"/>
  <c r="G42" i="246"/>
  <c r="D42" i="246"/>
  <c r="C42" i="246"/>
  <c r="U41" i="246"/>
  <c r="T41" i="246"/>
  <c r="H41" i="246"/>
  <c r="G41" i="246"/>
  <c r="D41" i="246"/>
  <c r="C41" i="246"/>
  <c r="AC40" i="246"/>
  <c r="AB40" i="246"/>
  <c r="AA40" i="246"/>
  <c r="Z40" i="246"/>
  <c r="Y40" i="246"/>
  <c r="U40" i="246"/>
  <c r="T40" i="246"/>
  <c r="H40" i="246"/>
  <c r="G40" i="246"/>
  <c r="D40" i="246"/>
  <c r="C40" i="246"/>
  <c r="AC39" i="246"/>
  <c r="AB39" i="246"/>
  <c r="AA39" i="246"/>
  <c r="Z39" i="246"/>
  <c r="Y39" i="246"/>
  <c r="U39" i="246"/>
  <c r="T39" i="246"/>
  <c r="R39" i="246"/>
  <c r="H39" i="246"/>
  <c r="G39" i="246"/>
  <c r="D39" i="246"/>
  <c r="C39" i="246"/>
  <c r="U38" i="246"/>
  <c r="T38" i="246"/>
  <c r="H38" i="246"/>
  <c r="G38" i="246"/>
  <c r="D38" i="246"/>
  <c r="C38" i="246"/>
  <c r="U37" i="246"/>
  <c r="T37" i="246"/>
  <c r="R37" i="246"/>
  <c r="AD36" i="246" s="1"/>
  <c r="H37" i="246"/>
  <c r="G37" i="246"/>
  <c r="D37" i="246"/>
  <c r="C37" i="246"/>
  <c r="U36" i="246"/>
  <c r="T36" i="246"/>
  <c r="H36" i="246"/>
  <c r="G36" i="246"/>
  <c r="D36" i="246"/>
  <c r="C36" i="246"/>
  <c r="AC35" i="246"/>
  <c r="AB35" i="246"/>
  <c r="AA35" i="246"/>
  <c r="Z35" i="246"/>
  <c r="Y35" i="246"/>
  <c r="U35" i="246"/>
  <c r="T35" i="246"/>
  <c r="H35" i="246"/>
  <c r="G35" i="246"/>
  <c r="D35" i="246"/>
  <c r="C35" i="246"/>
  <c r="AC34" i="246"/>
  <c r="AB34" i="246"/>
  <c r="AA34" i="246"/>
  <c r="Z34" i="246"/>
  <c r="Y34" i="246"/>
  <c r="U34" i="246"/>
  <c r="T34" i="246"/>
  <c r="R34" i="246"/>
  <c r="H34" i="246"/>
  <c r="G34" i="246"/>
  <c r="D34" i="246"/>
  <c r="C34" i="246"/>
  <c r="U33" i="246"/>
  <c r="T33" i="246"/>
  <c r="H33" i="246"/>
  <c r="G33" i="246"/>
  <c r="D33" i="246"/>
  <c r="C33" i="246"/>
  <c r="U32" i="246"/>
  <c r="T32" i="246"/>
  <c r="S32" i="246"/>
  <c r="R32" i="246"/>
  <c r="H32" i="246"/>
  <c r="G32" i="246"/>
  <c r="D32" i="246"/>
  <c r="C32" i="246"/>
  <c r="AD31" i="246"/>
  <c r="U31" i="246"/>
  <c r="T31" i="246"/>
  <c r="H31" i="246"/>
  <c r="G31" i="246"/>
  <c r="D31" i="246"/>
  <c r="C31" i="246"/>
  <c r="AC30" i="246"/>
  <c r="AB30" i="246"/>
  <c r="AA30" i="246"/>
  <c r="Z30" i="246"/>
  <c r="Y30" i="246"/>
  <c r="U30" i="246"/>
  <c r="T30" i="246"/>
  <c r="H30" i="246"/>
  <c r="G30" i="246"/>
  <c r="D30" i="246"/>
  <c r="C30" i="246"/>
  <c r="AC29" i="246"/>
  <c r="AB29" i="246"/>
  <c r="AA29" i="246"/>
  <c r="Z29" i="246"/>
  <c r="Y29" i="246"/>
  <c r="U29" i="246"/>
  <c r="T29" i="246"/>
  <c r="R29" i="246"/>
  <c r="H29" i="246"/>
  <c r="G29" i="246"/>
  <c r="D29" i="246"/>
  <c r="C29" i="246"/>
  <c r="U28" i="246"/>
  <c r="T28" i="246"/>
  <c r="H28" i="246"/>
  <c r="G28" i="246"/>
  <c r="D28" i="246"/>
  <c r="C28" i="246"/>
  <c r="U27" i="246"/>
  <c r="T27" i="246"/>
  <c r="R27" i="246"/>
  <c r="S27" i="246" s="1"/>
  <c r="H27" i="246"/>
  <c r="G27" i="246"/>
  <c r="D27" i="246"/>
  <c r="C27" i="246"/>
  <c r="U26" i="246"/>
  <c r="T26" i="246"/>
  <c r="H26" i="246"/>
  <c r="G26" i="246"/>
  <c r="D26" i="246"/>
  <c r="C26" i="246"/>
  <c r="U25" i="246"/>
  <c r="T25" i="246"/>
  <c r="H25" i="246"/>
  <c r="G25" i="246"/>
  <c r="D25" i="246"/>
  <c r="C25" i="246"/>
  <c r="U24" i="246"/>
  <c r="T24" i="246"/>
  <c r="H24" i="246"/>
  <c r="G24" i="246"/>
  <c r="D24" i="246"/>
  <c r="C24" i="246"/>
  <c r="U23" i="246"/>
  <c r="T23" i="246"/>
  <c r="H23" i="246"/>
  <c r="G23" i="246"/>
  <c r="D23" i="246"/>
  <c r="C23" i="246"/>
  <c r="U22" i="246"/>
  <c r="T22" i="246"/>
  <c r="R22" i="246"/>
  <c r="H22" i="246"/>
  <c r="G22" i="246"/>
  <c r="D22" i="246"/>
  <c r="C22" i="246"/>
  <c r="U21" i="246"/>
  <c r="T21" i="246"/>
  <c r="R21" i="246"/>
  <c r="H21" i="246"/>
  <c r="G21" i="246"/>
  <c r="D21" i="246"/>
  <c r="C21" i="246"/>
  <c r="U20" i="246"/>
  <c r="T20" i="246"/>
  <c r="R20" i="246"/>
  <c r="AD20" i="246" s="1"/>
  <c r="H20" i="246"/>
  <c r="G20" i="246"/>
  <c r="D20" i="246"/>
  <c r="C20" i="246"/>
  <c r="U19" i="246"/>
  <c r="T19" i="246"/>
  <c r="R19" i="246"/>
  <c r="H19" i="246"/>
  <c r="G19" i="246"/>
  <c r="D19" i="246"/>
  <c r="C19" i="246"/>
  <c r="U18" i="246"/>
  <c r="T18" i="246"/>
  <c r="R18" i="246"/>
  <c r="AD18" i="246" s="1"/>
  <c r="H18" i="246"/>
  <c r="G18" i="246"/>
  <c r="D18" i="246"/>
  <c r="C18" i="246"/>
  <c r="U17" i="246"/>
  <c r="T17" i="246"/>
  <c r="R17" i="246"/>
  <c r="H17" i="246"/>
  <c r="G17" i="246"/>
  <c r="D17" i="246"/>
  <c r="C17" i="246"/>
  <c r="U16" i="246"/>
  <c r="T16" i="246"/>
  <c r="R16" i="246"/>
  <c r="AD16" i="246" s="1"/>
  <c r="H16" i="246"/>
  <c r="G16" i="246"/>
  <c r="D16" i="246"/>
  <c r="C16" i="246"/>
  <c r="U15" i="246"/>
  <c r="T15" i="246"/>
  <c r="R15" i="246"/>
  <c r="H15" i="246"/>
  <c r="G15" i="246"/>
  <c r="D15" i="246"/>
  <c r="C15" i="246"/>
  <c r="U14" i="246"/>
  <c r="T14" i="246"/>
  <c r="R14" i="246"/>
  <c r="H14" i="246"/>
  <c r="G14" i="246"/>
  <c r="D14" i="246"/>
  <c r="C14" i="246"/>
  <c r="U13" i="246"/>
  <c r="T13" i="246"/>
  <c r="R13" i="246"/>
  <c r="AD13" i="246" s="1"/>
  <c r="H13" i="246"/>
  <c r="G13" i="246"/>
  <c r="D13" i="246"/>
  <c r="C13" i="246"/>
  <c r="U12" i="246"/>
  <c r="T12" i="246"/>
  <c r="H12" i="246"/>
  <c r="G12" i="246"/>
  <c r="D12" i="246"/>
  <c r="C12" i="246"/>
  <c r="U11" i="246"/>
  <c r="T11" i="246"/>
  <c r="H11" i="246"/>
  <c r="G11" i="246"/>
  <c r="D11" i="246"/>
  <c r="C11" i="246"/>
  <c r="U10" i="246"/>
  <c r="T10" i="246"/>
  <c r="H10" i="246"/>
  <c r="G10" i="246"/>
  <c r="D10" i="246"/>
  <c r="C10" i="246"/>
  <c r="U9" i="246"/>
  <c r="T9" i="246"/>
  <c r="H9" i="246"/>
  <c r="G9" i="246"/>
  <c r="D9" i="246"/>
  <c r="C9" i="246"/>
  <c r="AC8" i="246"/>
  <c r="AB8" i="246"/>
  <c r="AA8" i="246"/>
  <c r="Z8" i="246"/>
  <c r="Y8" i="246"/>
  <c r="U8" i="246"/>
  <c r="T8" i="246"/>
  <c r="R8" i="246"/>
  <c r="H8" i="246"/>
  <c r="G8" i="246"/>
  <c r="D8" i="246"/>
  <c r="C8" i="246"/>
  <c r="AG7" i="246"/>
  <c r="U7" i="246"/>
  <c r="T7" i="246"/>
  <c r="H7" i="246"/>
  <c r="G7" i="246"/>
  <c r="D7" i="246"/>
  <c r="C7" i="246"/>
  <c r="AQ6" i="246"/>
  <c r="U6" i="246"/>
  <c r="T6" i="246"/>
  <c r="H6" i="246"/>
  <c r="G6" i="246"/>
  <c r="D6" i="246"/>
  <c r="C6" i="246"/>
  <c r="AK5" i="246"/>
  <c r="AJ5" i="246"/>
  <c r="Y7" i="246" s="1"/>
  <c r="AI5" i="246"/>
  <c r="Y61" i="246" s="1"/>
  <c r="AG3" i="246"/>
  <c r="C2" i="246" a="1"/>
  <c r="C2" i="246" s="1"/>
  <c r="B2" i="246" a="1"/>
  <c r="B2" i="246" s="1"/>
  <c r="C1" i="246"/>
  <c r="B1" i="246"/>
  <c r="U105" i="245"/>
  <c r="T105" i="245"/>
  <c r="H105" i="245"/>
  <c r="G105" i="245"/>
  <c r="D105" i="245"/>
  <c r="C105" i="245"/>
  <c r="U104" i="245"/>
  <c r="T104" i="245"/>
  <c r="H104" i="245"/>
  <c r="G104" i="245"/>
  <c r="D104" i="245"/>
  <c r="C104" i="245"/>
  <c r="U103" i="245"/>
  <c r="T103" i="245"/>
  <c r="H103" i="245"/>
  <c r="G103" i="245"/>
  <c r="D103" i="245"/>
  <c r="C103" i="245"/>
  <c r="U102" i="245"/>
  <c r="T102" i="245"/>
  <c r="H102" i="245"/>
  <c r="G102" i="245"/>
  <c r="D102" i="245"/>
  <c r="C102" i="245"/>
  <c r="U101" i="245"/>
  <c r="T101" i="245"/>
  <c r="H101" i="245"/>
  <c r="G101" i="245"/>
  <c r="D101" i="245"/>
  <c r="C101" i="245"/>
  <c r="U100" i="245"/>
  <c r="T100" i="245"/>
  <c r="H100" i="245"/>
  <c r="G100" i="245"/>
  <c r="D100" i="245"/>
  <c r="C100" i="245"/>
  <c r="U99" i="245"/>
  <c r="T99" i="245"/>
  <c r="H99" i="245"/>
  <c r="G99" i="245"/>
  <c r="D99" i="245"/>
  <c r="C99" i="245"/>
  <c r="U98" i="245"/>
  <c r="T98" i="245"/>
  <c r="H98" i="245"/>
  <c r="G98" i="245"/>
  <c r="D98" i="245"/>
  <c r="C98" i="245"/>
  <c r="U97" i="245"/>
  <c r="T97" i="245"/>
  <c r="H97" i="245"/>
  <c r="G97" i="245"/>
  <c r="D97" i="245"/>
  <c r="C97" i="245"/>
  <c r="U96" i="245"/>
  <c r="T96" i="245"/>
  <c r="H96" i="245"/>
  <c r="G96" i="245"/>
  <c r="D96" i="245"/>
  <c r="C96" i="245"/>
  <c r="U95" i="245"/>
  <c r="T95" i="245"/>
  <c r="H95" i="245"/>
  <c r="G95" i="245"/>
  <c r="D95" i="245"/>
  <c r="C95" i="245"/>
  <c r="U94" i="245"/>
  <c r="T94" i="245"/>
  <c r="H94" i="245"/>
  <c r="G94" i="245"/>
  <c r="D94" i="245"/>
  <c r="C94" i="245"/>
  <c r="U93" i="245"/>
  <c r="T93" i="245"/>
  <c r="H93" i="245"/>
  <c r="G93" i="245"/>
  <c r="D93" i="245"/>
  <c r="C93" i="245"/>
  <c r="U92" i="245"/>
  <c r="T92" i="245"/>
  <c r="H92" i="245"/>
  <c r="G92" i="245"/>
  <c r="D92" i="245"/>
  <c r="C92" i="245"/>
  <c r="U91" i="245"/>
  <c r="T91" i="245"/>
  <c r="H91" i="245"/>
  <c r="G91" i="245"/>
  <c r="D91" i="245"/>
  <c r="C91" i="245"/>
  <c r="U90" i="245"/>
  <c r="T90" i="245"/>
  <c r="H90" i="245"/>
  <c r="G90" i="245"/>
  <c r="D90" i="245"/>
  <c r="C90" i="245"/>
  <c r="U89" i="245"/>
  <c r="T89" i="245"/>
  <c r="H89" i="245"/>
  <c r="G89" i="245"/>
  <c r="D89" i="245"/>
  <c r="C89" i="245"/>
  <c r="U88" i="245"/>
  <c r="T88" i="245"/>
  <c r="H88" i="245"/>
  <c r="G88" i="245"/>
  <c r="D88" i="245"/>
  <c r="C88" i="245"/>
  <c r="U87" i="245"/>
  <c r="T87" i="245"/>
  <c r="H87" i="245"/>
  <c r="G87" i="245"/>
  <c r="D87" i="245"/>
  <c r="C87" i="245"/>
  <c r="U86" i="245"/>
  <c r="T86" i="245"/>
  <c r="H86" i="245"/>
  <c r="G86" i="245"/>
  <c r="D86" i="245"/>
  <c r="C86" i="245"/>
  <c r="U85" i="245"/>
  <c r="T85" i="245"/>
  <c r="H85" i="245"/>
  <c r="G85" i="245"/>
  <c r="D85" i="245"/>
  <c r="C85" i="245"/>
  <c r="U84" i="245"/>
  <c r="T84" i="245"/>
  <c r="H84" i="245"/>
  <c r="G84" i="245"/>
  <c r="D84" i="245"/>
  <c r="C84" i="245"/>
  <c r="U83" i="245"/>
  <c r="T83" i="245"/>
  <c r="H83" i="245"/>
  <c r="G83" i="245"/>
  <c r="D83" i="245"/>
  <c r="C83" i="245"/>
  <c r="U82" i="245"/>
  <c r="T82" i="245"/>
  <c r="H82" i="245"/>
  <c r="G82" i="245"/>
  <c r="D82" i="245"/>
  <c r="C82" i="245"/>
  <c r="U81" i="245"/>
  <c r="T81" i="245"/>
  <c r="H81" i="245"/>
  <c r="G81" i="245"/>
  <c r="D81" i="245"/>
  <c r="C81" i="245"/>
  <c r="U80" i="245"/>
  <c r="T80" i="245"/>
  <c r="H80" i="245"/>
  <c r="G80" i="245"/>
  <c r="D80" i="245"/>
  <c r="C80" i="245"/>
  <c r="U79" i="245"/>
  <c r="T79" i="245"/>
  <c r="H79" i="245"/>
  <c r="G79" i="245"/>
  <c r="D79" i="245"/>
  <c r="C79" i="245"/>
  <c r="U78" i="245"/>
  <c r="T78" i="245"/>
  <c r="H78" i="245"/>
  <c r="G78" i="245"/>
  <c r="D78" i="245"/>
  <c r="C78" i="245"/>
  <c r="U77" i="245"/>
  <c r="T77" i="245"/>
  <c r="H77" i="245"/>
  <c r="G77" i="245"/>
  <c r="D77" i="245"/>
  <c r="C77" i="245"/>
  <c r="U76" i="245"/>
  <c r="T76" i="245"/>
  <c r="H76" i="245"/>
  <c r="G76" i="245"/>
  <c r="D76" i="245"/>
  <c r="C76" i="245"/>
  <c r="U75" i="245"/>
  <c r="T75" i="245"/>
  <c r="H75" i="245"/>
  <c r="G75" i="245"/>
  <c r="D75" i="245"/>
  <c r="C75" i="245"/>
  <c r="U74" i="245"/>
  <c r="T74" i="245"/>
  <c r="H74" i="245"/>
  <c r="G74" i="245"/>
  <c r="D74" i="245"/>
  <c r="C74" i="245"/>
  <c r="U73" i="245"/>
  <c r="T73" i="245"/>
  <c r="H73" i="245"/>
  <c r="G73" i="245"/>
  <c r="D73" i="245"/>
  <c r="C73" i="245"/>
  <c r="U72" i="245"/>
  <c r="T72" i="245"/>
  <c r="H72" i="245"/>
  <c r="G72" i="245"/>
  <c r="D72" i="245"/>
  <c r="C72" i="245"/>
  <c r="U71" i="245"/>
  <c r="T71" i="245"/>
  <c r="H71" i="245"/>
  <c r="G71" i="245"/>
  <c r="D71" i="245"/>
  <c r="C71" i="245"/>
  <c r="U70" i="245"/>
  <c r="T70" i="245"/>
  <c r="H70" i="245"/>
  <c r="G70" i="245"/>
  <c r="D70" i="245"/>
  <c r="C70" i="245"/>
  <c r="U69" i="245"/>
  <c r="T69" i="245"/>
  <c r="H69" i="245"/>
  <c r="G69" i="245"/>
  <c r="D69" i="245"/>
  <c r="C69" i="245"/>
  <c r="U68" i="245"/>
  <c r="T68" i="245"/>
  <c r="H68" i="245"/>
  <c r="G68" i="245"/>
  <c r="D68" i="245"/>
  <c r="C68" i="245"/>
  <c r="U67" i="245"/>
  <c r="T67" i="245"/>
  <c r="H67" i="245"/>
  <c r="G67" i="245"/>
  <c r="D67" i="245"/>
  <c r="C67" i="245"/>
  <c r="U66" i="245"/>
  <c r="T66" i="245"/>
  <c r="H66" i="245"/>
  <c r="G66" i="245"/>
  <c r="D66" i="245"/>
  <c r="C66" i="245"/>
  <c r="U65" i="245"/>
  <c r="T65" i="245"/>
  <c r="H65" i="245"/>
  <c r="G65" i="245"/>
  <c r="D65" i="245"/>
  <c r="C65" i="245"/>
  <c r="U64" i="245"/>
  <c r="T64" i="245"/>
  <c r="H64" i="245"/>
  <c r="G64" i="245"/>
  <c r="D64" i="245"/>
  <c r="C64" i="245"/>
  <c r="U63" i="245"/>
  <c r="T63" i="245"/>
  <c r="R63" i="245"/>
  <c r="AD63" i="245" s="1"/>
  <c r="H63" i="245"/>
  <c r="G63" i="245"/>
  <c r="D63" i="245"/>
  <c r="C63" i="245"/>
  <c r="U62" i="245"/>
  <c r="T62" i="245"/>
  <c r="H62" i="245"/>
  <c r="G62" i="245"/>
  <c r="D62" i="245"/>
  <c r="C62" i="245"/>
  <c r="U61" i="245"/>
  <c r="T61" i="245"/>
  <c r="R61" i="245"/>
  <c r="AD61" i="245" s="1"/>
  <c r="H61" i="245"/>
  <c r="G61" i="245"/>
  <c r="D61" i="245"/>
  <c r="C61" i="245"/>
  <c r="U60" i="245"/>
  <c r="T60" i="245"/>
  <c r="H60" i="245"/>
  <c r="G60" i="245"/>
  <c r="D60" i="245"/>
  <c r="C60" i="245"/>
  <c r="U59" i="245"/>
  <c r="T59" i="245"/>
  <c r="R59" i="245"/>
  <c r="AD59" i="245" s="1"/>
  <c r="H59" i="245"/>
  <c r="G59" i="245"/>
  <c r="D59" i="245"/>
  <c r="C59" i="245"/>
  <c r="U58" i="245"/>
  <c r="T58" i="245"/>
  <c r="H58" i="245"/>
  <c r="G58" i="245"/>
  <c r="D58" i="245"/>
  <c r="C58" i="245"/>
  <c r="U57" i="245"/>
  <c r="T57" i="245"/>
  <c r="R57" i="245"/>
  <c r="AD57" i="245" s="1"/>
  <c r="H57" i="245"/>
  <c r="G57" i="245"/>
  <c r="D57" i="245"/>
  <c r="C57" i="245"/>
  <c r="U56" i="245"/>
  <c r="T56" i="245"/>
  <c r="H56" i="245"/>
  <c r="G56" i="245"/>
  <c r="D56" i="245"/>
  <c r="C56" i="245"/>
  <c r="U55" i="245"/>
  <c r="T55" i="245"/>
  <c r="R55" i="245"/>
  <c r="AD55" i="245" s="1"/>
  <c r="H55" i="245"/>
  <c r="G55" i="245"/>
  <c r="D55" i="245"/>
  <c r="C55" i="245"/>
  <c r="U54" i="245"/>
  <c r="T54" i="245"/>
  <c r="H54" i="245"/>
  <c r="G54" i="245"/>
  <c r="D54" i="245"/>
  <c r="C54" i="245"/>
  <c r="U53" i="245"/>
  <c r="T53" i="245"/>
  <c r="H53" i="245"/>
  <c r="G53" i="245"/>
  <c r="D53" i="245"/>
  <c r="C53" i="245"/>
  <c r="U52" i="245"/>
  <c r="T52" i="245"/>
  <c r="H52" i="245"/>
  <c r="G52" i="245"/>
  <c r="D52" i="245"/>
  <c r="C52" i="245"/>
  <c r="U51" i="245"/>
  <c r="T51" i="245"/>
  <c r="H51" i="245"/>
  <c r="G51" i="245"/>
  <c r="D51" i="245"/>
  <c r="C51" i="245"/>
  <c r="AC50" i="245"/>
  <c r="AB50" i="245"/>
  <c r="AA50" i="245"/>
  <c r="Z50" i="245"/>
  <c r="Y50" i="245"/>
  <c r="U50" i="245"/>
  <c r="T50" i="245"/>
  <c r="H50" i="245"/>
  <c r="G50" i="245"/>
  <c r="D50" i="245"/>
  <c r="C50" i="245"/>
  <c r="AC49" i="245"/>
  <c r="AB49" i="245"/>
  <c r="AA49" i="245"/>
  <c r="Z49" i="245"/>
  <c r="Y49" i="245"/>
  <c r="U49" i="245"/>
  <c r="T49" i="245"/>
  <c r="R49" i="245"/>
  <c r="H49" i="245"/>
  <c r="G49" i="245"/>
  <c r="D49" i="245"/>
  <c r="C49" i="245"/>
  <c r="U48" i="245"/>
  <c r="T48" i="245"/>
  <c r="H48" i="245"/>
  <c r="G48" i="245"/>
  <c r="D48" i="245"/>
  <c r="C48" i="245"/>
  <c r="U47" i="245"/>
  <c r="T47" i="245"/>
  <c r="R47" i="245"/>
  <c r="AD46" i="245" s="1"/>
  <c r="H47" i="245"/>
  <c r="G47" i="245"/>
  <c r="D47" i="245"/>
  <c r="C47" i="245"/>
  <c r="U46" i="245"/>
  <c r="T46" i="245"/>
  <c r="H46" i="245"/>
  <c r="G46" i="245"/>
  <c r="D46" i="245"/>
  <c r="C46" i="245"/>
  <c r="AC45" i="245"/>
  <c r="AB45" i="245"/>
  <c r="AA45" i="245"/>
  <c r="Z45" i="245"/>
  <c r="Y45" i="245"/>
  <c r="U45" i="245"/>
  <c r="T45" i="245"/>
  <c r="H45" i="245"/>
  <c r="G45" i="245"/>
  <c r="D45" i="245"/>
  <c r="C45" i="245"/>
  <c r="AC44" i="245"/>
  <c r="AB44" i="245"/>
  <c r="AA44" i="245"/>
  <c r="Z44" i="245"/>
  <c r="Y44" i="245"/>
  <c r="U44" i="245"/>
  <c r="T44" i="245"/>
  <c r="R44" i="245"/>
  <c r="H44" i="245"/>
  <c r="G44" i="245"/>
  <c r="D44" i="245"/>
  <c r="C44" i="245"/>
  <c r="U43" i="245"/>
  <c r="T43" i="245"/>
  <c r="H43" i="245"/>
  <c r="G43" i="245"/>
  <c r="D43" i="245"/>
  <c r="C43" i="245"/>
  <c r="U42" i="245"/>
  <c r="T42" i="245"/>
  <c r="S42" i="245"/>
  <c r="R42" i="245"/>
  <c r="AD41" i="245" s="1"/>
  <c r="H42" i="245"/>
  <c r="G42" i="245"/>
  <c r="D42" i="245"/>
  <c r="C42" i="245"/>
  <c r="U41" i="245"/>
  <c r="T41" i="245"/>
  <c r="H41" i="245"/>
  <c r="G41" i="245"/>
  <c r="D41" i="245"/>
  <c r="C41" i="245"/>
  <c r="AC40" i="245"/>
  <c r="AB40" i="245"/>
  <c r="AA40" i="245"/>
  <c r="Z40" i="245"/>
  <c r="Y40" i="245"/>
  <c r="U40" i="245"/>
  <c r="T40" i="245"/>
  <c r="H40" i="245"/>
  <c r="G40" i="245"/>
  <c r="D40" i="245"/>
  <c r="C40" i="245"/>
  <c r="AC39" i="245"/>
  <c r="AB39" i="245"/>
  <c r="AA39" i="245"/>
  <c r="Z39" i="245"/>
  <c r="Y39" i="245"/>
  <c r="U39" i="245"/>
  <c r="T39" i="245"/>
  <c r="R39" i="245"/>
  <c r="H39" i="245"/>
  <c r="G39" i="245"/>
  <c r="D39" i="245"/>
  <c r="C39" i="245"/>
  <c r="U38" i="245"/>
  <c r="T38" i="245"/>
  <c r="H38" i="245"/>
  <c r="G38" i="245"/>
  <c r="D38" i="245"/>
  <c r="C38" i="245"/>
  <c r="U37" i="245"/>
  <c r="T37" i="245"/>
  <c r="R37" i="245"/>
  <c r="S37" i="245" s="1"/>
  <c r="H37" i="245"/>
  <c r="G37" i="245"/>
  <c r="D37" i="245"/>
  <c r="C37" i="245"/>
  <c r="AD36" i="245"/>
  <c r="U36" i="245"/>
  <c r="T36" i="245"/>
  <c r="H36" i="245"/>
  <c r="G36" i="245"/>
  <c r="D36" i="245"/>
  <c r="C36" i="245"/>
  <c r="AC35" i="245"/>
  <c r="AB35" i="245"/>
  <c r="AA35" i="245"/>
  <c r="Z35" i="245"/>
  <c r="Y35" i="245"/>
  <c r="U35" i="245"/>
  <c r="T35" i="245"/>
  <c r="H35" i="245"/>
  <c r="G35" i="245"/>
  <c r="D35" i="245"/>
  <c r="C35" i="245"/>
  <c r="AC34" i="245"/>
  <c r="AB34" i="245"/>
  <c r="AA34" i="245"/>
  <c r="Z34" i="245"/>
  <c r="Y34" i="245"/>
  <c r="U34" i="245"/>
  <c r="T34" i="245"/>
  <c r="R34" i="245"/>
  <c r="H34" i="245"/>
  <c r="G34" i="245"/>
  <c r="D34" i="245"/>
  <c r="C34" i="245"/>
  <c r="U33" i="245"/>
  <c r="T33" i="245"/>
  <c r="H33" i="245"/>
  <c r="G33" i="245"/>
  <c r="D33" i="245"/>
  <c r="C33" i="245"/>
  <c r="U32" i="245"/>
  <c r="T32" i="245"/>
  <c r="S32" i="245"/>
  <c r="R32" i="245"/>
  <c r="H32" i="245"/>
  <c r="G32" i="245"/>
  <c r="D32" i="245"/>
  <c r="C32" i="245"/>
  <c r="AD31" i="245"/>
  <c r="U31" i="245"/>
  <c r="T31" i="245"/>
  <c r="H31" i="245"/>
  <c r="G31" i="245"/>
  <c r="D31" i="245"/>
  <c r="C31" i="245"/>
  <c r="AC30" i="245"/>
  <c r="AB30" i="245"/>
  <c r="AA30" i="245"/>
  <c r="Z30" i="245"/>
  <c r="Y30" i="245"/>
  <c r="U30" i="245"/>
  <c r="T30" i="245"/>
  <c r="H30" i="245"/>
  <c r="G30" i="245"/>
  <c r="D30" i="245"/>
  <c r="C30" i="245"/>
  <c r="AC29" i="245"/>
  <c r="AB29" i="245"/>
  <c r="AA29" i="245"/>
  <c r="Z29" i="245"/>
  <c r="Y29" i="245"/>
  <c r="U29" i="245"/>
  <c r="T29" i="245"/>
  <c r="R29" i="245"/>
  <c r="H29" i="245"/>
  <c r="G29" i="245"/>
  <c r="D29" i="245"/>
  <c r="C29" i="245"/>
  <c r="U28" i="245"/>
  <c r="T28" i="245"/>
  <c r="H28" i="245"/>
  <c r="G28" i="245"/>
  <c r="D28" i="245"/>
  <c r="C28" i="245"/>
  <c r="U27" i="245"/>
  <c r="T27" i="245"/>
  <c r="R27" i="245"/>
  <c r="S27" i="245" s="1"/>
  <c r="H27" i="245"/>
  <c r="G27" i="245"/>
  <c r="D27" i="245"/>
  <c r="C27" i="245"/>
  <c r="U26" i="245"/>
  <c r="T26" i="245"/>
  <c r="H26" i="245"/>
  <c r="G26" i="245"/>
  <c r="D26" i="245"/>
  <c r="C26" i="245"/>
  <c r="U25" i="245"/>
  <c r="T25" i="245"/>
  <c r="H25" i="245"/>
  <c r="G25" i="245"/>
  <c r="D25" i="245"/>
  <c r="C25" i="245"/>
  <c r="U24" i="245"/>
  <c r="T24" i="245"/>
  <c r="H24" i="245"/>
  <c r="G24" i="245"/>
  <c r="D24" i="245"/>
  <c r="C24" i="245"/>
  <c r="U23" i="245"/>
  <c r="T23" i="245"/>
  <c r="H23" i="245"/>
  <c r="G23" i="245"/>
  <c r="D23" i="245"/>
  <c r="C23" i="245"/>
  <c r="U22" i="245"/>
  <c r="T22" i="245"/>
  <c r="R22" i="245"/>
  <c r="H22" i="245"/>
  <c r="G22" i="245"/>
  <c r="D22" i="245"/>
  <c r="C22" i="245"/>
  <c r="U21" i="245"/>
  <c r="T21" i="245"/>
  <c r="R21" i="245"/>
  <c r="H21" i="245"/>
  <c r="G21" i="245"/>
  <c r="D21" i="245"/>
  <c r="C21" i="245"/>
  <c r="U20" i="245"/>
  <c r="T20" i="245"/>
  <c r="R20" i="245"/>
  <c r="H20" i="245"/>
  <c r="G20" i="245"/>
  <c r="D20" i="245"/>
  <c r="C20" i="245"/>
  <c r="U19" i="245"/>
  <c r="T19" i="245"/>
  <c r="R19" i="245"/>
  <c r="H19" i="245"/>
  <c r="G19" i="245"/>
  <c r="D19" i="245"/>
  <c r="C19" i="245"/>
  <c r="U18" i="245"/>
  <c r="T18" i="245"/>
  <c r="R18" i="245"/>
  <c r="H18" i="245"/>
  <c r="G18" i="245"/>
  <c r="D18" i="245"/>
  <c r="C18" i="245"/>
  <c r="U17" i="245"/>
  <c r="T17" i="245"/>
  <c r="R17" i="245"/>
  <c r="AD17" i="245" s="1"/>
  <c r="H17" i="245"/>
  <c r="G17" i="245"/>
  <c r="D17" i="245"/>
  <c r="C17" i="245"/>
  <c r="U16" i="245"/>
  <c r="T16" i="245"/>
  <c r="R16" i="245"/>
  <c r="H16" i="245"/>
  <c r="G16" i="245"/>
  <c r="D16" i="245"/>
  <c r="C16" i="245"/>
  <c r="U15" i="245"/>
  <c r="T15" i="245"/>
  <c r="R15" i="245"/>
  <c r="H15" i="245"/>
  <c r="G15" i="245"/>
  <c r="D15" i="245"/>
  <c r="C15" i="245"/>
  <c r="U14" i="245"/>
  <c r="T14" i="245"/>
  <c r="R14" i="245"/>
  <c r="H14" i="245"/>
  <c r="G14" i="245"/>
  <c r="D14" i="245"/>
  <c r="C14" i="245"/>
  <c r="U13" i="245"/>
  <c r="T13" i="245"/>
  <c r="R13" i="245"/>
  <c r="AD13" i="245" s="1"/>
  <c r="H13" i="245"/>
  <c r="G13" i="245"/>
  <c r="D13" i="245"/>
  <c r="C13" i="245"/>
  <c r="U12" i="245"/>
  <c r="T12" i="245"/>
  <c r="H12" i="245"/>
  <c r="G12" i="245"/>
  <c r="D12" i="245"/>
  <c r="C12" i="245"/>
  <c r="U11" i="245"/>
  <c r="T11" i="245"/>
  <c r="H11" i="245"/>
  <c r="G11" i="245"/>
  <c r="D11" i="245"/>
  <c r="C11" i="245"/>
  <c r="U10" i="245"/>
  <c r="T10" i="245"/>
  <c r="H10" i="245"/>
  <c r="G10" i="245"/>
  <c r="D10" i="245"/>
  <c r="C10" i="245"/>
  <c r="U9" i="245"/>
  <c r="T9" i="245"/>
  <c r="H9" i="245"/>
  <c r="G9" i="245"/>
  <c r="D9" i="245"/>
  <c r="C9" i="245"/>
  <c r="AC8" i="245"/>
  <c r="AB8" i="245"/>
  <c r="AA8" i="245"/>
  <c r="Z8" i="245"/>
  <c r="Y8" i="245"/>
  <c r="U8" i="245"/>
  <c r="T8" i="245"/>
  <c r="R8" i="245"/>
  <c r="H8" i="245"/>
  <c r="G8" i="245"/>
  <c r="D8" i="245"/>
  <c r="C8" i="245"/>
  <c r="AG7" i="245"/>
  <c r="U7" i="245"/>
  <c r="T7" i="245"/>
  <c r="H7" i="245"/>
  <c r="G7" i="245"/>
  <c r="D7" i="245"/>
  <c r="C7" i="245"/>
  <c r="AQ6" i="245"/>
  <c r="U6" i="245"/>
  <c r="T6" i="245"/>
  <c r="H6" i="245"/>
  <c r="G6" i="245"/>
  <c r="D6" i="245"/>
  <c r="C6" i="245"/>
  <c r="AK5" i="245"/>
  <c r="AJ5" i="245"/>
  <c r="AC7" i="245" s="1"/>
  <c r="AI5" i="245"/>
  <c r="Y61" i="245" s="1"/>
  <c r="AG3" i="245"/>
  <c r="C2" i="245" a="1"/>
  <c r="C2" i="245" s="1"/>
  <c r="B2" i="245" a="1"/>
  <c r="B2" i="245" s="1"/>
  <c r="C1" i="245"/>
  <c r="B1" i="245"/>
  <c r="AP107" i="246" a="1"/>
  <c r="AL107" i="246" a="1"/>
  <c r="AM106" i="246" a="1"/>
  <c r="AM5" i="246" a="1"/>
  <c r="AO107" i="246" a="1"/>
  <c r="AP106" i="246" a="1"/>
  <c r="AL106" i="246" a="1"/>
  <c r="AP5" i="246" a="1"/>
  <c r="AL5" i="246" a="1"/>
  <c r="AN107" i="246" a="1"/>
  <c r="AO106" i="246" a="1"/>
  <c r="AO5" i="246" a="1"/>
  <c r="AM107" i="246" a="1"/>
  <c r="AN106" i="246" a="1"/>
  <c r="AN5" i="246" a="1"/>
  <c r="AP107" i="245" a="1"/>
  <c r="AL107" i="245" a="1"/>
  <c r="AM106" i="245" a="1"/>
  <c r="AO107" i="245" a="1"/>
  <c r="AP106" i="245" a="1"/>
  <c r="AL106" i="245" a="1"/>
  <c r="AP5" i="245" a="1"/>
  <c r="AL5" i="245" a="1"/>
  <c r="AN107" i="245" a="1"/>
  <c r="AO106" i="245" a="1"/>
  <c r="AO5" i="245" a="1"/>
  <c r="AM107" i="245" a="1"/>
  <c r="AN106" i="245" a="1"/>
  <c r="AN5" i="245" a="1"/>
  <c r="AM5" i="245" a="1"/>
  <c r="Z7" i="246" l="1"/>
  <c r="Y13" i="246"/>
  <c r="AB15" i="246"/>
  <c r="AC18" i="246"/>
  <c r="Y19" i="246"/>
  <c r="Z13" i="246"/>
  <c r="AC15" i="246"/>
  <c r="Y16" i="246"/>
  <c r="AA19" i="246"/>
  <c r="Y20" i="246"/>
  <c r="AA13" i="246"/>
  <c r="AA16" i="246"/>
  <c r="Z20" i="246"/>
  <c r="AA7" i="246"/>
  <c r="AC13" i="246"/>
  <c r="Y14" i="246"/>
  <c r="AB16" i="246"/>
  <c r="AA20" i="246"/>
  <c r="Z14" i="246"/>
  <c r="AC16" i="246"/>
  <c r="Y17" i="246"/>
  <c r="AB20" i="246"/>
  <c r="Y21" i="246"/>
  <c r="Y22" i="246"/>
  <c r="AA14" i="246"/>
  <c r="Z17" i="246"/>
  <c r="Z22" i="246"/>
  <c r="AB14" i="246"/>
  <c r="Z15" i="246"/>
  <c r="AB17" i="246"/>
  <c r="AB22" i="246"/>
  <c r="AB27" i="246"/>
  <c r="AA15" i="246"/>
  <c r="AC17" i="246"/>
  <c r="Z18" i="246"/>
  <c r="AC27" i="246"/>
  <c r="AD14" i="246"/>
  <c r="AD17" i="246"/>
  <c r="AD21" i="246"/>
  <c r="AD22" i="246"/>
  <c r="AD15" i="246"/>
  <c r="AG11" i="246" s="1"/>
  <c r="AQ11" i="246" s="1"/>
  <c r="AD19" i="246"/>
  <c r="AG9" i="246"/>
  <c r="AQ9" i="246" s="1"/>
  <c r="AG5" i="246"/>
  <c r="AQ5" i="246" s="1"/>
  <c r="Z46" i="246"/>
  <c r="Y46" i="246"/>
  <c r="AC46" i="246"/>
  <c r="AC26" i="246"/>
  <c r="Y31" i="246"/>
  <c r="Y36" i="246"/>
  <c r="AG2" i="246"/>
  <c r="AC31" i="246"/>
  <c r="Z31" i="246"/>
  <c r="AA36" i="246"/>
  <c r="AA26" i="246"/>
  <c r="AB31" i="246"/>
  <c r="AA41" i="246"/>
  <c r="Z36" i="246"/>
  <c r="AG4" i="246"/>
  <c r="AQ4" i="246" s="1"/>
  <c r="AQ3" i="246" s="1"/>
  <c r="B3" i="246" s="1"/>
  <c r="Z26" i="246"/>
  <c r="AA31" i="246"/>
  <c r="AB36" i="246"/>
  <c r="AB26" i="246"/>
  <c r="Y26" i="246"/>
  <c r="AB41" i="246"/>
  <c r="Y41" i="246"/>
  <c r="AA46" i="246"/>
  <c r="AC36" i="246"/>
  <c r="AC41" i="246"/>
  <c r="Z41" i="246"/>
  <c r="AB46" i="246"/>
  <c r="AN5" i="246"/>
  <c r="AN106" i="246"/>
  <c r="AM107" i="246"/>
  <c r="AO5" i="246"/>
  <c r="AO106" i="246"/>
  <c r="AN107" i="246"/>
  <c r="AL5" i="246"/>
  <c r="AP5" i="246"/>
  <c r="AL106" i="246"/>
  <c r="AP106" i="246"/>
  <c r="AO107" i="246"/>
  <c r="AM5" i="246"/>
  <c r="AM106" i="246"/>
  <c r="AL107" i="246"/>
  <c r="AP107" i="246"/>
  <c r="AG18" i="246"/>
  <c r="AQ18" i="246" s="1"/>
  <c r="AA18" i="246"/>
  <c r="AB19" i="246"/>
  <c r="Z21" i="246"/>
  <c r="AC22" i="246"/>
  <c r="AD26" i="246"/>
  <c r="AG14" i="246" s="1"/>
  <c r="AA32" i="246"/>
  <c r="S37" i="246"/>
  <c r="Y42" i="246"/>
  <c r="AB47" i="246"/>
  <c r="AA55" i="246"/>
  <c r="AC59" i="246"/>
  <c r="Z61" i="246"/>
  <c r="AB7" i="246"/>
  <c r="Y15" i="246"/>
  <c r="Z16" i="246"/>
  <c r="AA17" i="246"/>
  <c r="AB18" i="246"/>
  <c r="AC19" i="246"/>
  <c r="AA21" i="246"/>
  <c r="Y27" i="246"/>
  <c r="AB32" i="246"/>
  <c r="Z42" i="246"/>
  <c r="AC47" i="246"/>
  <c r="AB55" i="246"/>
  <c r="Y57" i="246"/>
  <c r="AA61" i="246"/>
  <c r="AC7" i="246"/>
  <c r="AB21" i="246"/>
  <c r="Z27" i="246"/>
  <c r="AC32" i="246"/>
  <c r="AA42" i="246"/>
  <c r="AC55" i="246"/>
  <c r="Z57" i="246"/>
  <c r="AB61" i="246"/>
  <c r="Y63" i="246"/>
  <c r="AC21" i="246"/>
  <c r="AA27" i="246"/>
  <c r="Y37" i="246"/>
  <c r="AB42" i="246"/>
  <c r="AA57" i="246"/>
  <c r="AC61" i="246"/>
  <c r="Z63" i="246"/>
  <c r="Z37" i="246"/>
  <c r="AC42" i="246"/>
  <c r="AB57" i="246"/>
  <c r="Y59" i="246"/>
  <c r="AA63" i="246"/>
  <c r="AA37" i="246"/>
  <c r="S42" i="246"/>
  <c r="AD42" i="246" s="1"/>
  <c r="Y47" i="246"/>
  <c r="AC57" i="246"/>
  <c r="Z59" i="246"/>
  <c r="AB63" i="246"/>
  <c r="AB13" i="246"/>
  <c r="AC14" i="246"/>
  <c r="Y18" i="246"/>
  <c r="Z19" i="246"/>
  <c r="AC20" i="246"/>
  <c r="AA22" i="246"/>
  <c r="Y32" i="246"/>
  <c r="AB37" i="246"/>
  <c r="Z47" i="246"/>
  <c r="Y55" i="246"/>
  <c r="AA59" i="246"/>
  <c r="AC63" i="246"/>
  <c r="Z32" i="246"/>
  <c r="AC37" i="246"/>
  <c r="AA47" i="246"/>
  <c r="Z55" i="246"/>
  <c r="AB59" i="246"/>
  <c r="Y7" i="245"/>
  <c r="AB7" i="245"/>
  <c r="AD20" i="245"/>
  <c r="AD18" i="245"/>
  <c r="AD16" i="245"/>
  <c r="AD14" i="245"/>
  <c r="AD22" i="245"/>
  <c r="AD19" i="245"/>
  <c r="AD15" i="245"/>
  <c r="AG11" i="245" s="1"/>
  <c r="AQ11" i="245" s="1"/>
  <c r="AD21" i="245"/>
  <c r="AG9" i="245"/>
  <c r="AQ9" i="245" s="1"/>
  <c r="AA46" i="245"/>
  <c r="Z26" i="245"/>
  <c r="Z46" i="245"/>
  <c r="AG5" i="245"/>
  <c r="AQ5" i="245" s="1"/>
  <c r="AB46" i="245"/>
  <c r="AA41" i="245"/>
  <c r="AA31" i="245"/>
  <c r="AC36" i="245"/>
  <c r="AC41" i="245"/>
  <c r="AC31" i="245"/>
  <c r="Z31" i="245"/>
  <c r="Z36" i="245"/>
  <c r="Y41" i="245"/>
  <c r="AC46" i="245"/>
  <c r="AG2" i="245"/>
  <c r="AB41" i="245"/>
  <c r="Y46" i="245"/>
  <c r="Y36" i="245"/>
  <c r="AA26" i="245"/>
  <c r="Z41" i="245"/>
  <c r="AB26" i="245"/>
  <c r="Y26" i="245"/>
  <c r="AB31" i="245"/>
  <c r="AG4" i="245"/>
  <c r="AC26" i="245"/>
  <c r="AA36" i="245"/>
  <c r="Y31" i="245"/>
  <c r="AB36" i="245"/>
  <c r="AM5" i="245"/>
  <c r="AN5" i="245"/>
  <c r="AN106" i="245"/>
  <c r="AM107" i="245"/>
  <c r="AO5" i="245"/>
  <c r="AO106" i="245"/>
  <c r="AN107" i="245"/>
  <c r="AL5" i="245"/>
  <c r="AP5" i="245"/>
  <c r="AL106" i="245"/>
  <c r="AP106" i="245"/>
  <c r="AO107" i="245"/>
  <c r="AM106" i="245"/>
  <c r="AL107" i="245"/>
  <c r="AP107" i="245"/>
  <c r="AG18" i="245"/>
  <c r="AQ18" i="245" s="1"/>
  <c r="AB37" i="245"/>
  <c r="Z7" i="245"/>
  <c r="AA7" i="245"/>
  <c r="Y16" i="245"/>
  <c r="Z17" i="245"/>
  <c r="AA18" i="245"/>
  <c r="AB19" i="245"/>
  <c r="Z21" i="245"/>
  <c r="AC22" i="245"/>
  <c r="AD26" i="245"/>
  <c r="AG14" i="245" s="1"/>
  <c r="AA32" i="245"/>
  <c r="Y42" i="245"/>
  <c r="AB47" i="245"/>
  <c r="AA55" i="245"/>
  <c r="AC59" i="245"/>
  <c r="Z61" i="245"/>
  <c r="Y15" i="245"/>
  <c r="Z16" i="245"/>
  <c r="AA17" i="245"/>
  <c r="AB32" i="245"/>
  <c r="Z42" i="245"/>
  <c r="AC47" i="245"/>
  <c r="AB55" i="245"/>
  <c r="Y57" i="245"/>
  <c r="AA61" i="245"/>
  <c r="AB18" i="245"/>
  <c r="AC19" i="245"/>
  <c r="AA21" i="245"/>
  <c r="Y27" i="245"/>
  <c r="Y14" i="245"/>
  <c r="Z15" i="245"/>
  <c r="AA16" i="245"/>
  <c r="AB17" i="245"/>
  <c r="AC18" i="245"/>
  <c r="Y20" i="245"/>
  <c r="AB21" i="245"/>
  <c r="Z27" i="245"/>
  <c r="AC32" i="245"/>
  <c r="AA42" i="245"/>
  <c r="S47" i="245"/>
  <c r="AD47" i="245" s="1"/>
  <c r="AC55" i="245"/>
  <c r="Z57" i="245"/>
  <c r="AB61" i="245"/>
  <c r="Y63" i="245"/>
  <c r="Y13" i="245"/>
  <c r="Z14" i="245"/>
  <c r="AA15" i="245"/>
  <c r="AB16" i="245"/>
  <c r="AC17" i="245"/>
  <c r="Z20" i="245"/>
  <c r="AC21" i="245"/>
  <c r="AA27" i="245"/>
  <c r="Y37" i="245"/>
  <c r="AB42" i="245"/>
  <c r="AA57" i="245"/>
  <c r="AC61" i="245"/>
  <c r="Z63" i="245"/>
  <c r="Z13" i="245"/>
  <c r="AA14" i="245"/>
  <c r="AB15" i="245"/>
  <c r="AC16" i="245"/>
  <c r="AA20" i="245"/>
  <c r="Y22" i="245"/>
  <c r="AB27" i="245"/>
  <c r="Z37" i="245"/>
  <c r="AC42" i="245"/>
  <c r="AB57" i="245"/>
  <c r="Y59" i="245"/>
  <c r="AA63" i="245"/>
  <c r="AB14" i="245"/>
  <c r="AA37" i="245"/>
  <c r="Y47" i="245"/>
  <c r="AC57" i="245"/>
  <c r="Z59" i="245"/>
  <c r="AB63" i="245"/>
  <c r="AA13" i="245"/>
  <c r="Y19" i="245"/>
  <c r="AC27" i="245"/>
  <c r="AB13" i="245"/>
  <c r="AC14" i="245"/>
  <c r="Z19" i="245"/>
  <c r="AC20" i="245"/>
  <c r="AA22" i="245"/>
  <c r="Z47" i="245"/>
  <c r="Y55" i="245"/>
  <c r="AA59" i="245"/>
  <c r="AC63" i="245"/>
  <c r="AC15" i="245"/>
  <c r="AB20" i="245"/>
  <c r="Z22" i="245"/>
  <c r="Y18" i="245"/>
  <c r="Y32" i="245"/>
  <c r="AC13" i="245"/>
  <c r="Y17" i="245"/>
  <c r="Z18" i="245"/>
  <c r="AA19" i="245"/>
  <c r="Y21" i="245"/>
  <c r="AB22" i="245"/>
  <c r="Z32" i="245"/>
  <c r="AC37" i="245"/>
  <c r="AA47" i="245"/>
  <c r="Z55" i="245"/>
  <c r="AB59" i="245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N6" i="246" a="1"/>
  <c r="AO6" i="246" a="1"/>
  <c r="AM6" i="246" a="1"/>
  <c r="AL6" i="246" a="1"/>
  <c r="AP6" i="246" a="1"/>
  <c r="AM6" i="245" a="1"/>
  <c r="AP6" i="245" a="1"/>
  <c r="AN6" i="245" a="1"/>
  <c r="AO6" i="245" a="1"/>
  <c r="AL6" i="245" a="1"/>
  <c r="AL5" i="4" a="1"/>
  <c r="AL107" i="4" a="1"/>
  <c r="AP107" i="4" a="1"/>
  <c r="AM106" i="4" a="1"/>
  <c r="AN107" i="4" a="1"/>
  <c r="AO107" i="4" a="1"/>
  <c r="AP5" i="4" a="1"/>
  <c r="AN106" i="4" a="1"/>
  <c r="AN5" i="4" a="1"/>
  <c r="AP106" i="4" a="1"/>
  <c r="AO5" i="4" a="1"/>
  <c r="AM5" i="4" a="1"/>
  <c r="AL106" i="4" a="1"/>
  <c r="AO106" i="4" a="1"/>
  <c r="AM107" i="4" a="1"/>
  <c r="AD33" i="246" l="1"/>
  <c r="AD43" i="246"/>
  <c r="AD28" i="246"/>
  <c r="AG8" i="246"/>
  <c r="AQ8" i="246" s="1"/>
  <c r="AQ7" i="246" s="1"/>
  <c r="L5" i="246" s="1"/>
  <c r="AG12" i="246"/>
  <c r="AD48" i="246"/>
  <c r="AG10" i="246"/>
  <c r="AQ10" i="246" s="1"/>
  <c r="L10" i="246" s="1"/>
  <c r="AP6" i="246"/>
  <c r="Y48" i="246" s="1"/>
  <c r="AL6" i="246"/>
  <c r="AA28" i="246" s="1"/>
  <c r="AM6" i="246"/>
  <c r="Y33" i="246" s="1"/>
  <c r="AO6" i="246"/>
  <c r="AB43" i="246" s="1"/>
  <c r="AN6" i="246"/>
  <c r="Z38" i="246" s="1"/>
  <c r="AD32" i="246"/>
  <c r="AG17" i="246"/>
  <c r="AQ17" i="246" s="1"/>
  <c r="L52" i="246" s="1"/>
  <c r="AD37" i="246"/>
  <c r="AD47" i="246"/>
  <c r="AD38" i="246"/>
  <c r="AD27" i="246"/>
  <c r="AG15" i="246" s="1"/>
  <c r="AB38" i="246"/>
  <c r="AQ4" i="245"/>
  <c r="AQ3" i="245" s="1"/>
  <c r="B3" i="245" s="1"/>
  <c r="AG12" i="245"/>
  <c r="AD43" i="245"/>
  <c r="AD33" i="245"/>
  <c r="AD38" i="245"/>
  <c r="AD28" i="245"/>
  <c r="AL6" i="245"/>
  <c r="AB28" i="245" s="1"/>
  <c r="AO6" i="245"/>
  <c r="AB43" i="245" s="1"/>
  <c r="AN6" i="245"/>
  <c r="AB38" i="245" s="1"/>
  <c r="AP6" i="245"/>
  <c r="AB48" i="245" s="1"/>
  <c r="AM6" i="245"/>
  <c r="AB33" i="245" s="1"/>
  <c r="AG17" i="245"/>
  <c r="AQ17" i="245" s="1"/>
  <c r="L52" i="245" s="1"/>
  <c r="AG10" i="245"/>
  <c r="AQ10" i="245" s="1"/>
  <c r="L10" i="245" s="1"/>
  <c r="AD42" i="245"/>
  <c r="AD32" i="245"/>
  <c r="AG8" i="245"/>
  <c r="AD37" i="245"/>
  <c r="AD48" i="245"/>
  <c r="AD27" i="245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M6" i="4" a="1"/>
  <c r="AP6" i="4" a="1"/>
  <c r="AL6" i="4" a="1"/>
  <c r="AO6" i="4" a="1"/>
  <c r="AN6" i="4" a="1"/>
  <c r="Y38" i="246" l="1"/>
  <c r="AA38" i="246"/>
  <c r="Z43" i="245"/>
  <c r="AC38" i="246"/>
  <c r="AA48" i="246"/>
  <c r="AB48" i="246"/>
  <c r="Y43" i="246"/>
  <c r="Z33" i="246"/>
  <c r="Z48" i="246"/>
  <c r="AC48" i="246"/>
  <c r="AB28" i="246"/>
  <c r="AC28" i="246"/>
  <c r="AG16" i="246"/>
  <c r="AQ16" i="246" s="1"/>
  <c r="AQ15" i="246" s="1"/>
  <c r="AQ14" i="246" s="1"/>
  <c r="AC43" i="246"/>
  <c r="Z43" i="246"/>
  <c r="Y28" i="246"/>
  <c r="AC33" i="245"/>
  <c r="AA43" i="246"/>
  <c r="Z28" i="246"/>
  <c r="AA33" i="246"/>
  <c r="AB33" i="246"/>
  <c r="AC33" i="246"/>
  <c r="AC48" i="245"/>
  <c r="AC38" i="245"/>
  <c r="Y38" i="245"/>
  <c r="AG16" i="245"/>
  <c r="AQ16" i="245" s="1"/>
  <c r="AC28" i="245"/>
  <c r="AC43" i="245"/>
  <c r="Z48" i="245"/>
  <c r="AA43" i="245"/>
  <c r="Y43" i="245"/>
  <c r="Y48" i="245"/>
  <c r="Y33" i="245"/>
  <c r="Z38" i="245"/>
  <c r="Y28" i="245"/>
  <c r="Z33" i="245"/>
  <c r="AA38" i="245"/>
  <c r="AQ8" i="245"/>
  <c r="AQ7" i="245" s="1"/>
  <c r="L5" i="245" s="1"/>
  <c r="Z28" i="245"/>
  <c r="AA33" i="245"/>
  <c r="AA28" i="245"/>
  <c r="AA48" i="245"/>
  <c r="AG15" i="245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Q15" i="245" l="1"/>
  <c r="AQ14" i="245" s="1"/>
  <c r="AG13" i="246"/>
  <c r="D1" i="246" s="1"/>
  <c r="F3" i="1" s="1"/>
  <c r="AG13" i="245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3" i="246" l="1"/>
  <c r="AQ12" i="246" s="1"/>
  <c r="L24" i="246" s="1"/>
  <c r="AQ13" i="245"/>
  <c r="AQ12" i="245" s="1"/>
  <c r="L24" i="245" s="1"/>
  <c r="D1" i="245"/>
  <c r="F2" i="1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6" i="4" l="1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<sst xmlns="http://schemas.openxmlformats.org/spreadsheetml/2006/main" count="470" uniqueCount="130">
  <si>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</si>
  <si>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</si>
  <si>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</si>
  <si>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</si>
  <si>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</si>
  <si>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</si>
  <si>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</si>
  <si>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</si>
  <si>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</si>
  <si>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</si>
  <si>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</si>
  <si>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</si>
  <si>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</si>
  <si>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</si>
  <si>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</si>
  <si>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</si>
  <si>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</si>
  <si>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</si>
  <si>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</si>
  <si>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</si>
  <si>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</si>
  <si>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</si>
  <si>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</si>
  <si>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</si>
  <si>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</si>
  <si>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</si>
  <si>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</si>
  <si>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</si>
  <si>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</si>
  <si>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</si>
  <si>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</si>
  <si>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</si>
  <si>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</si>
  <si>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</si>
  <si>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</si>
  <si>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</si>
  <si>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</si>
  <si>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</si>
  <si>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</si>
  <si>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</si>
  <si>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</si>
  <si>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</si>
  <si>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</si>
  <si>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</si>
  <si>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</si>
  <si>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</si>
  <si>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</si>
  <si>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</si>
  <si>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</si>
  <si>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</si>
  <si>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</si>
  <si>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</si>
  <si>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</si>
  <si>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</si>
  <si>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</si>
  <si>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</si>
  <si>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</si>
  <si>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</si>
  <si>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</si>
  <si>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</si>
  <si>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</si>
  <si>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</si>
  <si>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</si>
  <si>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</si>
  <si>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</si>
  <si>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</si>
  <si>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</si>
  <si>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</si>
  <si>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</si>
  <si>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</si>
  <si>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</si>
  <si>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</si>
  <si>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</si>
  <si>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</si>
  <si>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</si>
  <si>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</si>
  <si>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</si>
  <si>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</si>
  <si>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</si>
  <si>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</si>
  <si>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</si>
  <si>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</si>
  <si>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</si>
  <si>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</si>
  <si>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</si>
  <si>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</si>
  <si>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</si>
  <si>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</si>
  <si>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</si>
  <si>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</si>
  <si>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</si>
  <si>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</si>
  <si>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</si>
  <si>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</si>
  <si>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</si>
  <si>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</si>
  <si>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</si>
  <si>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</si>
  <si>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</si>
  <si>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</si>
  <si>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受注番号</t>
  </si>
  <si>
    <t>order_no</t>
  </si>
  <si>
    <t>varchar(10)</t>
  </si>
  <si>
    <t>varchar(5)</t>
  </si>
  <si>
    <t>商品名</t>
  </si>
  <si>
    <t>product_name</t>
  </si>
  <si>
    <t>商品名称</t>
  </si>
  <si>
    <t>受注番号</t>
    <phoneticPr fontId="2"/>
  </si>
  <si>
    <t>受注番号(サロゲートキー)</t>
  </si>
  <si>
    <t>受注明細番号</t>
  </si>
  <si>
    <t>order_detail_no</t>
  </si>
  <si>
    <t>受注明細番号(サロゲートキー)</t>
  </si>
  <si>
    <t>受注番号(WORK)</t>
  </si>
  <si>
    <t>order_now</t>
  </si>
  <si>
    <t>(order_now ~* '^RO-[0-9]{7}$')</t>
  </si>
  <si>
    <t>受注番号(新規採番)</t>
  </si>
  <si>
    <t>商品ID(WORK)</t>
  </si>
  <si>
    <t>product_idw</t>
  </si>
  <si>
    <t>(product_idw ~* '^P[0-9]{4}$')</t>
  </si>
  <si>
    <t>商品ID(新規採番)</t>
  </si>
  <si>
    <t>移行用中間テーブル</t>
    <phoneticPr fontId="2"/>
  </si>
  <si>
    <t>work</t>
    <phoneticPr fontId="2"/>
  </si>
  <si>
    <t>商品ID</t>
  </si>
  <si>
    <t>商品ID</t>
    <phoneticPr fontId="2"/>
  </si>
  <si>
    <t>受注番号(WORK)</t>
    <phoneticPr fontId="2"/>
  </si>
  <si>
    <t>商品ID(WORK)</t>
    <phoneticPr fontId="2"/>
  </si>
  <si>
    <t>gen_order_no</t>
  </si>
  <si>
    <t>-</t>
    <phoneticPr fontId="2"/>
  </si>
  <si>
    <t/>
  </si>
  <si>
    <t>gen_product_id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</si>
</sst>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14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28"/>
  <sheetViews>
    <sheetView showGridLines="0" workbookViewId="0">
      <pane ySplit="1" topLeftCell="A2" activePane="bottomLeft" state="frozen"/>
      <selection pane="bottomLeft" activeCell="D1" sqref="D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100</v>
      </c>
      <c r="B2" s="60" t="s">
        <v>101</v>
      </c>
      <c r="C2" s="60" t="s">
        <v>41</v>
      </c>
      <c r="D2" s="60"/>
      <c r="E2" s="60" t="b">
        <v>0</v>
      </c>
      <c r="F2" s="60" t="s">
        <v>108</v>
      </c>
      <c r="G2" s="62">
        <v>0</v>
      </c>
      <c r="H2" s="60" t="s">
        <v>100</v>
      </c>
      <c r="I2"/>
    </row>
    <row r="3" spans="1:9" ht="18">
      <c r="A3" s="60" t="s">
        <v>104</v>
      </c>
      <c r="B3" s="60" t="s">
        <v>105</v>
      </c>
      <c r="C3" s="60" t="s">
        <v>42</v>
      </c>
      <c r="D3" s="60"/>
      <c r="E3" s="60" t="b">
        <v>0</v>
      </c>
      <c r="F3" s="60" t="s">
        <v>106</v>
      </c>
      <c r="G3" s="62">
        <v>0</v>
      </c>
      <c r="H3" s="60" t="s">
        <v>104</v>
      </c>
      <c r="I3"/>
    </row>
    <row r="4" spans="1:9" ht="18">
      <c r="A4" s="60" t="s">
        <v>109</v>
      </c>
      <c r="B4" s="60" t="s">
        <v>110</v>
      </c>
      <c r="C4" s="60" t="s">
        <v>41</v>
      </c>
      <c r="D4" s="60"/>
      <c r="E4" s="60" t="b">
        <v>0</v>
      </c>
      <c r="F4" s="60" t="s">
        <v>111</v>
      </c>
      <c r="G4" s="62">
        <v>0</v>
      </c>
      <c r="H4" s="60" t="s">
        <v>109</v>
      </c>
      <c r="I4"/>
    </row>
    <row r="5" spans="1:9" ht="18">
      <c r="A5" s="60" t="s">
        <v>112</v>
      </c>
      <c r="B5" s="60" t="s">
        <v>113</v>
      </c>
      <c r="C5" s="60" t="s">
        <v>102</v>
      </c>
      <c r="D5" s="60" t="s">
        <v>114</v>
      </c>
      <c r="E5" s="60" t="b">
        <v>0</v>
      </c>
      <c r="F5" s="60" t="s">
        <v>115</v>
      </c>
      <c r="G5" s="62">
        <v>0</v>
      </c>
      <c r="H5" s="60" t="s">
        <v>112</v>
      </c>
      <c r="I5"/>
    </row>
    <row r="6" spans="1:9" ht="18">
      <c r="A6" s="61" t="s">
        <v>116</v>
      </c>
      <c r="B6" s="61" t="s">
        <v>117</v>
      </c>
      <c r="C6" s="61" t="s">
        <v>103</v>
      </c>
      <c r="D6" s="61" t="s">
        <v>118</v>
      </c>
      <c r="E6" s="61" t="b">
        <v>0</v>
      </c>
      <c r="F6" s="61" t="s">
        <v>119</v>
      </c>
      <c r="G6" s="63">
        <v>0</v>
      </c>
      <c r="H6" s="61" t="s">
        <v>116</v>
      </c>
      <c r="I6"/>
    </row>
    <row r="7" spans="1:9" ht="18">
      <c r="A7"/>
      <c r="B7"/>
      <c r="C7"/>
      <c r="D7"/>
      <c r="E7"/>
      <c r="F7"/>
      <c r="G7"/>
      <c r="H7"/>
      <c r="I7"/>
    </row>
    <row r="8" spans="1:9" ht="18">
      <c r="A8"/>
      <c r="B8"/>
      <c r="C8"/>
      <c r="D8"/>
      <c r="E8"/>
      <c r="F8"/>
      <c r="G8"/>
      <c r="H8"/>
      <c r="I8"/>
    </row>
    <row r="9" spans="1:9" ht="18">
      <c r="A9"/>
      <c r="B9"/>
      <c r="C9"/>
      <c r="D9"/>
      <c r="E9"/>
      <c r="F9"/>
      <c r="G9"/>
      <c r="H9"/>
      <c r="I9"/>
    </row>
    <row r="10" spans="1:9" ht="18">
      <c r="A10"/>
      <c r="B10"/>
      <c r="C10"/>
      <c r="D10"/>
      <c r="E10"/>
      <c r="F10"/>
      <c r="G10"/>
      <c r="H10"/>
      <c r="I10"/>
    </row>
    <row r="11" spans="1:9" ht="18">
      <c r="A11"/>
      <c r="B11"/>
      <c r="C11"/>
      <c r="D11"/>
      <c r="E11"/>
      <c r="F11"/>
      <c r="G11"/>
      <c r="H11"/>
      <c r="I11"/>
    </row>
    <row r="12" spans="1:9" ht="18">
      <c r="A12"/>
      <c r="B12"/>
      <c r="C12"/>
      <c r="D12"/>
      <c r="E12"/>
      <c r="F12"/>
      <c r="G12"/>
      <c r="H12"/>
      <c r="I12"/>
    </row>
    <row r="13" spans="1:9" ht="18">
      <c r="A13"/>
      <c r="B13"/>
      <c r="C13"/>
      <c r="D13"/>
      <c r="E13"/>
      <c r="F13"/>
      <c r="G13"/>
      <c r="H13"/>
      <c r="I13"/>
    </row>
    <row r="14" spans="1:9" ht="18">
      <c r="A14"/>
      <c r="B14"/>
      <c r="C14"/>
      <c r="D14"/>
      <c r="E14"/>
      <c r="F14"/>
      <c r="G14"/>
      <c r="H14"/>
      <c r="I14"/>
    </row>
    <row r="15" spans="1:9" ht="18">
      <c r="A15"/>
      <c r="B15"/>
      <c r="C15"/>
      <c r="D15"/>
      <c r="E15"/>
      <c r="F15"/>
      <c r="G15"/>
      <c r="H15"/>
      <c r="I15"/>
    </row>
    <row r="16" spans="1:9" ht="18">
      <c r="A16"/>
      <c r="B16"/>
      <c r="C16"/>
      <c r="D16"/>
      <c r="E16"/>
      <c r="F16"/>
      <c r="G16"/>
      <c r="H16"/>
      <c r="I16"/>
    </row>
    <row r="17" spans="1:9" ht="18">
      <c r="A17"/>
      <c r="B17"/>
      <c r="C17"/>
      <c r="D17"/>
      <c r="E17"/>
      <c r="F17"/>
      <c r="G17"/>
      <c r="H17"/>
      <c r="I17"/>
    </row>
    <row r="18" spans="1:9" ht="18">
      <c r="A18"/>
      <c r="B18"/>
      <c r="C18"/>
      <c r="D18"/>
      <c r="E18"/>
      <c r="F18"/>
      <c r="G18"/>
      <c r="H18"/>
      <c r="I18"/>
    </row>
    <row r="19" spans="1:9" ht="18">
      <c r="A19"/>
      <c r="B19"/>
      <c r="C19"/>
      <c r="D19"/>
      <c r="E19"/>
      <c r="F19"/>
      <c r="G19"/>
      <c r="H19"/>
      <c r="I19"/>
    </row>
    <row r="20" spans="1:9" ht="18">
      <c r="A20"/>
      <c r="B20"/>
      <c r="C20"/>
      <c r="D20"/>
      <c r="E20"/>
      <c r="F20"/>
      <c r="G20"/>
      <c r="H20"/>
      <c r="I20"/>
    </row>
    <row r="21" spans="1:9" ht="18">
      <c r="A21"/>
      <c r="B21"/>
      <c r="C21"/>
      <c r="D21"/>
      <c r="E21"/>
      <c r="F21"/>
      <c r="G21"/>
      <c r="H21"/>
      <c r="I21"/>
    </row>
    <row r="22" spans="1:9" ht="18">
      <c r="A22"/>
      <c r="B22"/>
      <c r="C22"/>
      <c r="D22"/>
      <c r="E22"/>
      <c r="F22"/>
      <c r="G22"/>
      <c r="H22"/>
      <c r="I22"/>
    </row>
    <row r="23" spans="1:9" ht="18">
      <c r="A23"/>
      <c r="B23"/>
      <c r="C23"/>
      <c r="D23"/>
      <c r="E23"/>
      <c r="F23"/>
      <c r="G23"/>
      <c r="H23"/>
      <c r="I23"/>
    </row>
    <row r="24" spans="1:9" ht="18">
      <c r="A24"/>
      <c r="B24"/>
      <c r="C24"/>
      <c r="D24"/>
      <c r="E24"/>
      <c r="F24"/>
      <c r="G24"/>
      <c r="H24"/>
      <c r="I24"/>
    </row>
    <row r="25" spans="1:9" ht="18">
      <c r="A25"/>
      <c r="B25"/>
      <c r="C25"/>
      <c r="D25"/>
      <c r="E25"/>
      <c r="F25"/>
      <c r="G25"/>
      <c r="H25"/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  <row r="313" spans="1:9" ht="18">
      <c r="A313"/>
      <c r="B313"/>
      <c r="C313"/>
      <c r="D313"/>
      <c r="E313"/>
      <c r="F313"/>
      <c r="G313"/>
      <c r="H313"/>
      <c r="I313"/>
    </row>
    <row r="314" spans="1:9" ht="18">
      <c r="A314"/>
      <c r="B314"/>
      <c r="C314"/>
      <c r="D314"/>
      <c r="E314"/>
      <c r="F314"/>
      <c r="G314"/>
      <c r="H314"/>
      <c r="I314"/>
    </row>
    <row r="315" spans="1:9" ht="18">
      <c r="A315"/>
      <c r="B315"/>
      <c r="C315"/>
      <c r="D315"/>
      <c r="E315"/>
      <c r="F315"/>
      <c r="G315"/>
      <c r="H315"/>
      <c r="I315"/>
    </row>
    <row r="316" spans="1:9" ht="18">
      <c r="A316"/>
      <c r="B316"/>
      <c r="C316"/>
      <c r="D316"/>
      <c r="E316"/>
      <c r="F316"/>
      <c r="G316"/>
      <c r="H316"/>
      <c r="I316"/>
    </row>
    <row r="317" spans="1:9" ht="18">
      <c r="A317"/>
      <c r="B317"/>
      <c r="C317"/>
      <c r="D317"/>
      <c r="E317"/>
      <c r="F317"/>
      <c r="G317"/>
      <c r="H317"/>
      <c r="I317"/>
    </row>
    <row r="318" spans="1:9" ht="18">
      <c r="A318"/>
      <c r="B318"/>
      <c r="C318"/>
      <c r="D318"/>
      <c r="E318"/>
      <c r="F318"/>
      <c r="G318"/>
      <c r="H318"/>
      <c r="I318"/>
    </row>
    <row r="319" spans="1:9" ht="18">
      <c r="A319"/>
      <c r="B319"/>
      <c r="C319"/>
      <c r="D319"/>
      <c r="E319"/>
      <c r="F319"/>
      <c r="G319"/>
      <c r="H319"/>
      <c r="I319"/>
    </row>
    <row r="320" spans="1:9" ht="18">
      <c r="A320"/>
      <c r="B320"/>
      <c r="C320"/>
      <c r="D320"/>
      <c r="E320"/>
      <c r="F320"/>
      <c r="G320"/>
      <c r="H320"/>
      <c r="I320"/>
    </row>
    <row r="321" spans="1:9" ht="18">
      <c r="A321"/>
      <c r="B321"/>
      <c r="C321"/>
      <c r="D321"/>
      <c r="E321"/>
      <c r="F321"/>
      <c r="G321"/>
      <c r="H321"/>
      <c r="I321"/>
    </row>
    <row r="322" spans="1:9" ht="18">
      <c r="A322"/>
      <c r="B322"/>
      <c r="C322"/>
      <c r="D322"/>
      <c r="E322"/>
      <c r="F322"/>
      <c r="G322"/>
      <c r="H322"/>
      <c r="I322"/>
    </row>
    <row r="323" spans="1:9" ht="18">
      <c r="A323"/>
      <c r="B323"/>
      <c r="C323"/>
      <c r="D323"/>
      <c r="E323"/>
      <c r="F323"/>
      <c r="G323"/>
      <c r="H323"/>
      <c r="I323"/>
    </row>
    <row r="324" spans="1:9" ht="18">
      <c r="A324"/>
      <c r="B324"/>
      <c r="C324"/>
      <c r="D324"/>
      <c r="E324"/>
      <c r="F324"/>
      <c r="G324"/>
      <c r="H324"/>
      <c r="I324"/>
    </row>
    <row r="325" spans="1:9" ht="18">
      <c r="A325"/>
      <c r="B325"/>
      <c r="C325"/>
      <c r="D325"/>
      <c r="E325"/>
      <c r="F325"/>
      <c r="G325"/>
      <c r="H325"/>
      <c r="I325"/>
    </row>
    <row r="326" spans="1:9" ht="18">
      <c r="A326"/>
      <c r="B326"/>
      <c r="C326"/>
      <c r="D326"/>
      <c r="E326"/>
      <c r="F326"/>
      <c r="G326"/>
      <c r="H326"/>
      <c r="I326"/>
    </row>
    <row r="327" spans="1:9" ht="18">
      <c r="A327"/>
      <c r="B327"/>
      <c r="C327"/>
      <c r="D327"/>
      <c r="E327"/>
      <c r="F327"/>
      <c r="G327"/>
      <c r="H327"/>
      <c r="I327"/>
    </row>
    <row r="328" spans="1:9" ht="18">
      <c r="A328"/>
      <c r="B328"/>
      <c r="C328"/>
      <c r="D328"/>
      <c r="E328"/>
      <c r="F328"/>
      <c r="G328"/>
      <c r="H328"/>
      <c r="I328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tabSelected="1" workbookViewId="0">
      <pane ySplit="1" topLeftCell="A2" activePane="bottomLeft" state="frozen"/>
      <selection pane="bottomLeft" activeCell="E13" activeCellId="1" sqref="B3 E13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100</v>
      </c>
      <c r="D2" s="22" t="s">
        <v>100</v>
      </c>
      <c r="E2" s="22" t="s">
        <v>126</v>
      </c>
      <c r="F2" s="87">
        <f ca="1">受注番号!ERRORS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122</v>
      </c>
      <c r="D3" s="24" t="s">
        <v>122</v>
      </c>
      <c r="E3" s="24" t="s">
        <v>129</v>
      </c>
      <c r="F3" s="88">
        <f ca="1">商品ID!ERRORS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/>
      <c r="D4" s="24"/>
      <c r="E4" s="24"/>
      <c r="F4" s="88"/>
      <c r="H4" s="28" t="b">
        <f t="shared" si="2"/>
        <v>0</v>
      </c>
      <c r="I4" s="28" t="b">
        <f t="shared" si="3"/>
        <v>0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8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13" priority="4" operator="equal">
      <formula>1</formula>
    </cfRule>
  </conditionalFormatting>
  <conditionalFormatting sqref="D2:E101">
    <cfRule type="expression" dxfId="112" priority="3">
      <formula>$J2</formula>
    </cfRule>
  </conditionalFormatting>
  <conditionalFormatting sqref="F2:F101">
    <cfRule type="cellIs" dxfId="111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受注番号'!A1" display="受注番号" xr:uid="{7A9F3411-FF92-4549-8ED7-4C8D92D25F6E}"/>
    <hyperlink ref="C3" location="'商品ID'!A1" display="商品ID" xr:uid="{F211BCDE-53E0-4CEA-AB63-A17574492593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移行用中間テーブル</v>
      </c>
      <c r="C1" s="20" t="str">
        <f>SCHEMA_EN</f>
        <v>work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53</v>
      </c>
      <c r="F2" s="86" t="s">
        <v>54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99</v>
      </c>
      <c r="AI3" s="7" t="s">
        <v>57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56</v>
      </c>
      <c r="L6" s="112" t="s">
        <v>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24</v>
      </c>
      <c r="AJ6" s="66" t="s">
        <v>24</v>
      </c>
      <c r="AK6" s="95" t="s">
        <v>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89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50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51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1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10" priority="147">
      <formula>ISERROR(B2)</formula>
    </cfRule>
  </conditionalFormatting>
  <conditionalFormatting sqref="B6:B105">
    <cfRule type="expression" dxfId="109" priority="144">
      <formula>COUNTIF(FIELD_NAME,B6)&gt;1</formula>
    </cfRule>
    <cfRule type="expression" dxfId="108" priority="145">
      <formula>AND($B6&lt;&gt;"",ISNA(MATCH($B6,項目リスト,0)))</formula>
    </cfRule>
  </conditionalFormatting>
  <conditionalFormatting sqref="B6">
    <cfRule type="expression" dxfId="107" priority="139">
      <formula>$AI$6="N/A"</formula>
    </cfRule>
  </conditionalFormatting>
  <conditionalFormatting sqref="D1">
    <cfRule type="cellIs" dxfId="106" priority="128" operator="greaterThan">
      <formula>0</formula>
    </cfRule>
  </conditionalFormatting>
  <conditionalFormatting sqref="L8:P8">
    <cfRule type="expression" dxfId="105" priority="159">
      <formula>Y8</formula>
    </cfRule>
    <cfRule type="expression" dxfId="104" priority="160">
      <formula>Y7</formula>
    </cfRule>
  </conditionalFormatting>
  <conditionalFormatting sqref="L13:P22">
    <cfRule type="expression" dxfId="103" priority="91">
      <formula>Y13</formula>
    </cfRule>
    <cfRule type="expression" dxfId="102" priority="92">
      <formula>$AD13</formula>
    </cfRule>
  </conditionalFormatting>
  <conditionalFormatting sqref="L8">
    <cfRule type="expression" dxfId="101" priority="158">
      <formula>$AG$7</formula>
    </cfRule>
  </conditionalFormatting>
  <conditionalFormatting sqref="L55:P64">
    <cfRule type="expression" dxfId="100" priority="24">
      <formula>Y55</formula>
    </cfRule>
    <cfRule type="expression" dxfId="99" priority="25">
      <formula>$AD55</formula>
    </cfRule>
  </conditionalFormatting>
  <conditionalFormatting sqref="L43:P44">
    <cfRule type="expression" dxfId="98" priority="15">
      <formula>Y42</formula>
    </cfRule>
  </conditionalFormatting>
  <conditionalFormatting sqref="L43:P43">
    <cfRule type="expression" dxfId="97" priority="13">
      <formula>$AD42</formula>
    </cfRule>
    <cfRule type="expression" dxfId="96" priority="162">
      <formula>Y41</formula>
    </cfRule>
  </conditionalFormatting>
  <conditionalFormatting sqref="L43">
    <cfRule type="expression" dxfId="95" priority="14">
      <formula>$AD41</formula>
    </cfRule>
  </conditionalFormatting>
  <conditionalFormatting sqref="L28:P29 L33:P34 L38:P39 L48:P49 L43:P44">
    <cfRule type="expression" dxfId="94" priority="165">
      <formula>Y27</formula>
    </cfRule>
  </conditionalFormatting>
  <conditionalFormatting sqref="L29:P29 L34:P34 L39:P39 L49:P49">
    <cfRule type="expression" dxfId="93" priority="168">
      <formula>$AD27</formula>
    </cfRule>
    <cfRule type="expression" dxfId="92" priority="169">
      <formula>Y26</formula>
    </cfRule>
  </conditionalFormatting>
  <conditionalFormatting sqref="L28 L33 L38 L48 L43">
    <cfRule type="expression" dxfId="91" priority="170">
      <formula>$AD26</formula>
    </cfRule>
  </conditionalFormatting>
  <conditionalFormatting sqref="L44:P44">
    <cfRule type="expression" dxfId="90" priority="173">
      <formula>$AD42</formula>
    </cfRule>
    <cfRule type="expression" dxfId="89" priority="174">
      <formula>Y41</formula>
    </cfRule>
  </conditionalFormatting>
  <conditionalFormatting sqref="L28:P28 L33:P33 L38:P38 L43:P43 L48:P48">
    <cfRule type="expression" dxfId="88" priority="12">
      <formula>$AD27</formula>
    </cfRule>
    <cfRule type="expression" dxfId="87" priority="161">
      <formula>Y26</formula>
    </cfRule>
  </conditionalFormatting>
  <conditionalFormatting sqref="K56">
    <cfRule type="expression" dxfId="86" priority="10">
      <formula>X56</formula>
    </cfRule>
    <cfRule type="expression" dxfId="85" priority="11">
      <formula>$AD56</formula>
    </cfRule>
  </conditionalFormatting>
  <conditionalFormatting sqref="K58">
    <cfRule type="expression" dxfId="84" priority="8">
      <formula>X58</formula>
    </cfRule>
    <cfRule type="expression" dxfId="83" priority="9">
      <formula>$AD58</formula>
    </cfRule>
  </conditionalFormatting>
  <conditionalFormatting sqref="K60">
    <cfRule type="expression" dxfId="82" priority="6">
      <formula>X60</formula>
    </cfRule>
    <cfRule type="expression" dxfId="81" priority="7">
      <formula>$AD60</formula>
    </cfRule>
  </conditionalFormatting>
  <conditionalFormatting sqref="K62">
    <cfRule type="expression" dxfId="80" priority="4">
      <formula>X62</formula>
    </cfRule>
    <cfRule type="expression" dxfId="79" priority="5">
      <formula>$AD62</formula>
    </cfRule>
  </conditionalFormatting>
  <conditionalFormatting sqref="K64">
    <cfRule type="expression" dxfId="78" priority="2">
      <formula>X64</formula>
    </cfRule>
    <cfRule type="expression" dxfId="77" priority="3">
      <formula>$AD64</formula>
    </cfRule>
  </conditionalFormatting>
  <conditionalFormatting sqref="L29:P29 L34:P34 L39:P39 L44:P44 L49:P49">
    <cfRule type="expression" dxfId="76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EAD1-BF96-49F5-9486-E8A79D0E9054}">
  <sheetPr codeName="template1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移行用中間テーブル</v>
      </c>
      <c r="C1" s="20" t="str">
        <f>SCHEMA_EN</f>
        <v>work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受注番号</v>
      </c>
      <c r="C2" s="20" t="str" cm="1">
        <f t="array" ref="C2">INDEX(一覧!DATA_AREA,TABLE_NO,3)</f>
        <v>gen_order_no</v>
      </c>
      <c r="D2" s="91">
        <v>1</v>
      </c>
      <c r="E2" s="85" t="s">
        <v>53</v>
      </c>
      <c r="F2" s="86" t="s">
        <v>127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4</v>
      </c>
      <c r="AJ5" s="66">
        <f>COUNTA(AJ6:AJ105)</f>
        <v>4</v>
      </c>
      <c r="AK5" s="95">
        <f>COUNTA(AK6:AK105)</f>
        <v>1</v>
      </c>
      <c r="AL5" s="83" cm="1">
        <f t="array" aca="1" ref="AL5" ca="1">IFERROR(INDIRECT($L$26&amp;"!R5C35",FALSE),1)</f>
        <v>2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112</v>
      </c>
      <c r="C6" s="34" t="str">
        <f ca="1">IFERROR(VLOOKUP(B6,項目!DATA_AREA,2,FALSE),"")</f>
        <v>order_now</v>
      </c>
      <c r="D6" s="34" t="str">
        <f ca="1">IFERROR(VLOOKUP(B6,項目!DATA_AREA,3,FALSE),"")</f>
        <v>varchar(10)</v>
      </c>
      <c r="E6" s="47">
        <v>1</v>
      </c>
      <c r="F6" s="116" t="s">
        <v>128</v>
      </c>
      <c r="G6" s="37" t="str">
        <f ca="1">IFERROR(VLOOKUP(B6,項目!DATA_AREA,4,FALSE),"")</f>
        <v>(order_now ~* '^RO-[0-9]{7}$')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124</v>
      </c>
      <c r="AJ6" s="66" t="s">
        <v>124</v>
      </c>
      <c r="AK6" s="95" t="s">
        <v>123</v>
      </c>
      <c r="AL6" s="83" t="str" cm="1">
        <f t="array" aca="1" ref="AL6:AL7" ca="1">IFERROR(OFFSET(INDIRECT($L$26&amp;"!R6C35",FALSE),,,AL5,),"N/A")</f>
        <v>商品ID(WORK)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116</v>
      </c>
      <c r="C7" s="35" t="str">
        <f ca="1">IFERROR(VLOOKUP(B7,項目!DATA_AREA,2,FALSE),"")</f>
        <v>product_idw</v>
      </c>
      <c r="D7" s="35" t="str">
        <f ca="1">IFERROR(VLOOKUP(B7,項目!DATA_AREA,3,FALSE),"")</f>
        <v>varchar(5)</v>
      </c>
      <c r="E7" s="48">
        <v>1</v>
      </c>
      <c r="F7" s="117" t="s">
        <v>128</v>
      </c>
      <c r="G7" s="38" t="str">
        <f ca="1">IFERROR(VLOOKUP(B7,項目!DATA_AREA,4,FALSE),"")</f>
        <v>(product_idw ~* '^P[0-9]{4}$')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116</v>
      </c>
      <c r="AJ7" s="66" t="s">
        <v>116</v>
      </c>
      <c r="AK7" s="95"/>
      <c r="AL7" s="83" t="str">
        <f ca="1"/>
        <v>商品名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100</v>
      </c>
      <c r="C8" s="35" t="str">
        <f ca="1">IFERROR(VLOOKUP(B8,項目!DATA_AREA,2,FALSE),"")</f>
        <v>order_no</v>
      </c>
      <c r="D8" s="35" t="str">
        <f ca="1">IFERROR(VLOOKUP(B8,項目!DATA_AREA,3,FALSE),"")</f>
        <v>integer</v>
      </c>
      <c r="E8" s="48">
        <v>1</v>
      </c>
      <c r="F8" s="117" t="s">
        <v>128</v>
      </c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13</v>
      </c>
      <c r="L8" s="68" t="s">
        <v>112</v>
      </c>
      <c r="M8" s="69" t="s">
        <v>116</v>
      </c>
      <c r="N8" s="69"/>
      <c r="O8" s="69"/>
      <c r="P8" s="70"/>
      <c r="R8" s="83" t="str">
        <f>_xlfn.CONCAT(L8:P8)</f>
        <v>受注番号(WORK)商品ID(WORK)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 t="s">
        <v>100</v>
      </c>
      <c r="AJ8" s="66" t="s">
        <v>100</v>
      </c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109</v>
      </c>
      <c r="C9" s="35" t="str">
        <f ca="1">IFERROR(VLOOKUP(B9,項目!DATA_AREA,2,FALSE),"")</f>
        <v>order_detail_no</v>
      </c>
      <c r="D9" s="35" t="str">
        <f ca="1">IFERROR(VLOOKUP(B9,項目!DATA_AREA,3,FALSE),"")</f>
        <v>integer</v>
      </c>
      <c r="E9" s="48">
        <v>1</v>
      </c>
      <c r="F9" s="117" t="s">
        <v>128</v>
      </c>
      <c r="G9" s="38">
        <f ca="1">IFERROR(VLOOKUP(B9,項目!DATA_AREA,4,FALSE),"")</f>
        <v>0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 t="s">
        <v>109</v>
      </c>
      <c r="AJ9" s="66" t="s">
        <v>109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100</v>
      </c>
      <c r="M13" s="73" t="s">
        <v>109</v>
      </c>
      <c r="N13" s="73"/>
      <c r="O13" s="73"/>
      <c r="P13" s="74"/>
      <c r="R13" s="83" t="str">
        <f>_xlfn.CONCAT(L13:P13)</f>
        <v>受注番号受注明細番号</v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 t="s">
        <v>122</v>
      </c>
      <c r="M26" s="104" t="s">
        <v>75</v>
      </c>
      <c r="N26" s="100" t="s">
        <v>66</v>
      </c>
      <c r="O26" s="104" t="s">
        <v>76</v>
      </c>
      <c r="P26" s="100" t="s">
        <v>66</v>
      </c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商品ID(WORK)</v>
      </c>
      <c r="S27" s="66" t="str">
        <f>_xlfn.CONCAT(L26,R27)</f>
        <v>商品ID商品ID(WORK)</v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 t="s">
        <v>116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 t="s">
        <v>116</v>
      </c>
      <c r="M29" s="81"/>
      <c r="N29" s="81"/>
      <c r="O29" s="81"/>
      <c r="P29" s="82"/>
      <c r="R29" s="83" t="str">
        <f t="shared" ref="R29" si="10">_xlfn.CONCAT(L29:P29)</f>
        <v>商品ID(WORK)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商品ID(WORK)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商品ID(WORK)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商品ID(WORK)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>商品名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/>
      <c r="AN108" s="66"/>
      <c r="AO108" s="66"/>
      <c r="AP108" s="66"/>
    </row>
    <row r="109" spans="1:42">
      <c r="AL109" s="66" t="str">
        <f ca="1"/>
        <v/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75" priority="24">
      <formula>ISERROR(B2)</formula>
    </cfRule>
  </conditionalFormatting>
  <conditionalFormatting sqref="B6:B105">
    <cfRule type="expression" dxfId="74" priority="22">
      <formula>COUNTIF(FIELD_NAME,B6)&gt;1</formula>
    </cfRule>
    <cfRule type="expression" dxfId="73" priority="23">
      <formula>AND($B6&lt;&gt;"",ISNA(MATCH($B6,項目リスト,0)))</formula>
    </cfRule>
  </conditionalFormatting>
  <conditionalFormatting sqref="B6">
    <cfRule type="expression" dxfId="72" priority="21">
      <formula>$AI$6="N/A"</formula>
    </cfRule>
  </conditionalFormatting>
  <conditionalFormatting sqref="D1">
    <cfRule type="cellIs" dxfId="71" priority="20" operator="greaterThan">
      <formula>0</formula>
    </cfRule>
  </conditionalFormatting>
  <conditionalFormatting sqref="L8:P8">
    <cfRule type="expression" dxfId="70" priority="26">
      <formula>Y8</formula>
    </cfRule>
    <cfRule type="expression" dxfId="69" priority="27">
      <formula>Y7</formula>
    </cfRule>
  </conditionalFormatting>
  <conditionalFormatting sqref="L13:P22">
    <cfRule type="expression" dxfId="68" priority="18">
      <formula>Y13</formula>
    </cfRule>
    <cfRule type="expression" dxfId="67" priority="19">
      <formula>$AD13</formula>
    </cfRule>
  </conditionalFormatting>
  <conditionalFormatting sqref="L8">
    <cfRule type="expression" dxfId="66" priority="25">
      <formula>$AG$7</formula>
    </cfRule>
  </conditionalFormatting>
  <conditionalFormatting sqref="L55:P64">
    <cfRule type="expression" dxfId="65" priority="16">
      <formula>Y55</formula>
    </cfRule>
    <cfRule type="expression" dxfId="64" priority="17">
      <formula>$AD55</formula>
    </cfRule>
  </conditionalFormatting>
  <conditionalFormatting sqref="L43:P44">
    <cfRule type="expression" dxfId="63" priority="15">
      <formula>Y42</formula>
    </cfRule>
  </conditionalFormatting>
  <conditionalFormatting sqref="L43:P43">
    <cfRule type="expression" dxfId="62" priority="13">
      <formula>$AD42</formula>
    </cfRule>
    <cfRule type="expression" dxfId="61" priority="29">
      <formula>Y41</formula>
    </cfRule>
  </conditionalFormatting>
  <conditionalFormatting sqref="L43">
    <cfRule type="expression" dxfId="60" priority="14">
      <formula>$AD41</formula>
    </cfRule>
  </conditionalFormatting>
  <conditionalFormatting sqref="L28:P29 L33:P34 L38:P39 L48:P49 L43:P44">
    <cfRule type="expression" dxfId="59" priority="30">
      <formula>Y27</formula>
    </cfRule>
  </conditionalFormatting>
  <conditionalFormatting sqref="L29:P29 L34:P34 L39:P39 L49:P49">
    <cfRule type="expression" dxfId="58" priority="31">
      <formula>$AD27</formula>
    </cfRule>
    <cfRule type="expression" dxfId="57" priority="32">
      <formula>Y26</formula>
    </cfRule>
  </conditionalFormatting>
  <conditionalFormatting sqref="L28 L33 L38 L48 L43">
    <cfRule type="expression" dxfId="56" priority="33">
      <formula>$AD26</formula>
    </cfRule>
  </conditionalFormatting>
  <conditionalFormatting sqref="L44:P44">
    <cfRule type="expression" dxfId="55" priority="34">
      <formula>$AD42</formula>
    </cfRule>
    <cfRule type="expression" dxfId="54" priority="35">
      <formula>Y41</formula>
    </cfRule>
  </conditionalFormatting>
  <conditionalFormatting sqref="L28:P28 L33:P33 L38:P38 L43:P43 L48:P48">
    <cfRule type="expression" dxfId="53" priority="12">
      <formula>$AD27</formula>
    </cfRule>
    <cfRule type="expression" dxfId="52" priority="28">
      <formula>Y26</formula>
    </cfRule>
  </conditionalFormatting>
  <conditionalFormatting sqref="K56">
    <cfRule type="expression" dxfId="51" priority="10">
      <formula>X56</formula>
    </cfRule>
    <cfRule type="expression" dxfId="50" priority="11">
      <formula>$AD56</formula>
    </cfRule>
  </conditionalFormatting>
  <conditionalFormatting sqref="K58">
    <cfRule type="expression" dxfId="49" priority="8">
      <formula>X58</formula>
    </cfRule>
    <cfRule type="expression" dxfId="48" priority="9">
      <formula>$AD58</formula>
    </cfRule>
  </conditionalFormatting>
  <conditionalFormatting sqref="K60">
    <cfRule type="expression" dxfId="47" priority="6">
      <formula>X60</formula>
    </cfRule>
    <cfRule type="expression" dxfId="46" priority="7">
      <formula>$AD60</formula>
    </cfRule>
  </conditionalFormatting>
  <conditionalFormatting sqref="K62">
    <cfRule type="expression" dxfId="45" priority="4">
      <formula>X62</formula>
    </cfRule>
    <cfRule type="expression" dxfId="44" priority="5">
      <formula>$AD62</formula>
    </cfRule>
  </conditionalFormatting>
  <conditionalFormatting sqref="K64">
    <cfRule type="expression" dxfId="43" priority="2">
      <formula>X64</formula>
    </cfRule>
    <cfRule type="expression" dxfId="42" priority="3">
      <formula>$AD64</formula>
    </cfRule>
  </conditionalFormatting>
  <conditionalFormatting sqref="L29:P29 L34:P34 L39:P39 L44:P44 L49:P49">
    <cfRule type="expression" dxfId="41" priority="1">
      <formula>$AD28</formula>
    </cfRule>
  </conditionalFormatting>
  <conditionalFormatting sqref="E6">
    <cfRule type="expression" dxfId="40" priority="36" stopIfTrue="1">
      <formula>RC22</formula>
    </cfRule>
  </conditionalFormatting>
  <conditionalFormatting sqref="E7">
    <cfRule type="expression" dxfId="39" priority="37" stopIfTrue="1">
      <formula>RC22</formula>
    </cfRule>
  </conditionalFormatting>
  <conditionalFormatting sqref="E8">
    <cfRule type="expression" dxfId="38" priority="38" stopIfTrue="1">
      <formula>RC22</formula>
    </cfRule>
  </conditionalFormatting>
  <conditionalFormatting sqref="E9">
    <cfRule type="expression" dxfId="37" priority="39" stopIfTrue="1">
      <formula>RC22</formula>
    </cfRule>
  </conditionalFormatting>
  <dataValidations count="16">
    <dataValidation imeMode="off" allowBlank="1" showInputMessage="1" showErrorMessage="1" sqref="D5:F5 C2 F6:F105" xr:uid="{DF005351-C316-4C79-81F0-BD1070F7C680}"/>
    <dataValidation type="whole" imeMode="off" operator="equal" allowBlank="1" showInputMessage="1" showErrorMessage="1" error="DESC指定の場合に‐1を入力" sqref="L56:P56 L58:P58 L60:P60 L62:P62 L64:P64" xr:uid="{2E9F2AE8-15FF-4A1B-B5E9-27AD4174D773}">
      <formula1>-1</formula1>
    </dataValidation>
    <dataValidation type="whole" imeMode="off" operator="equal" allowBlank="1" showInputMessage="1" showErrorMessage="1" error="Unique indexの場合に1を入力" sqref="K56 K58 K60 K62 K64" xr:uid="{3500B980-2186-4BEF-8A34-8D192D341BA5}">
      <formula1>1</formula1>
    </dataValidation>
    <dataValidation type="list" allowBlank="1" showInputMessage="1" showErrorMessage="1" sqref="N26 P26 N31 P31 N36 P36 N41 P41 N46 P46" xr:uid="{9127F33C-0D9C-4268-897B-13236FB51FCF}">
      <formula1>FK_OPTION</formula1>
    </dataValidation>
    <dataValidation type="list" allowBlank="1" showInputMessage="1" showErrorMessage="1" sqref="L49:P49" xr:uid="{BD57C0AC-5B9C-415A-90A3-FBCEFD254FD0}">
      <formula1>FK_FIELD_5</formula1>
    </dataValidation>
    <dataValidation type="list" allowBlank="1" showInputMessage="1" showErrorMessage="1" sqref="L44:P44" xr:uid="{119ECF5F-DC0E-47A0-AB12-7180B76BFED4}">
      <formula1>FK_FIELD_4</formula1>
    </dataValidation>
    <dataValidation type="list" allowBlank="1" showInputMessage="1" showErrorMessage="1" sqref="L39:P39" xr:uid="{88CFE34F-B93A-4601-83C3-ED4697A20A2C}">
      <formula1>FK_FIELD_3</formula1>
    </dataValidation>
    <dataValidation type="list" allowBlank="1" showInputMessage="1" showErrorMessage="1" sqref="L34:P34" xr:uid="{EF5E7E8A-F1E9-4FCA-BCA3-7AAFE6D31D19}">
      <formula1>FK_FIELD_2</formula1>
    </dataValidation>
    <dataValidation type="list" allowBlank="1" showInputMessage="1" showErrorMessage="1" sqref="L29:P29" xr:uid="{29449475-B334-40FD-B28F-1AD37C363D98}">
      <formula1>FK_FIELD_1</formula1>
    </dataValidation>
    <dataValidation type="list" allowBlank="1" showInputMessage="1" showErrorMessage="1" sqref="L26 L31 L36 L41 L46" xr:uid="{4C956AB6-A4B4-4C0C-BF8D-7A9B7A45EF43}">
      <formula1>TABLEリスト</formula1>
    </dataValidation>
    <dataValidation type="list" allowBlank="1" showInputMessage="1" showErrorMessage="1" sqref="F2" xr:uid="{9849D752-941F-46CA-9BB2-C170A15B728B}">
      <formula1>"○,-"</formula1>
    </dataValidation>
    <dataValidation type="list" allowBlank="1" showInputMessage="1" showErrorMessage="1" sqref="L13:P22 L43:P43 L48:P48 L33:P33 L38:P38 L28:P28 L55:P55 L57:P57 L59:P59 L61:P61 L63:P63" xr:uid="{0D3481A4-04C3-499E-8977-249FD3034DE8}">
      <formula1>FIELDリスト</formula1>
    </dataValidation>
    <dataValidation type="list" allowBlank="1" showInputMessage="1" showErrorMessage="1" sqref="L8:P8" xr:uid="{46629E5B-E40E-4D4E-815B-7CD2BE6DA016}">
      <formula1>FIELDリストNN</formula1>
    </dataValidation>
    <dataValidation type="whole" imeMode="off" operator="equal" allowBlank="1" showInputMessage="1" showErrorMessage="1" error="NotNullの場合は[1]を入力する。" sqref="E6:E105" xr:uid="{9D3C092C-CDFD-4EC1-9BF1-A0C6ACDEB8C1}">
      <formula1>1</formula1>
    </dataValidation>
    <dataValidation type="list" allowBlank="1" showInputMessage="1" showErrorMessage="1" sqref="B6:B105" xr:uid="{D6A3E8BC-F578-425D-9266-8E89E89576DB}">
      <formula1>項目リスト</formula1>
    </dataValidation>
    <dataValidation imeMode="on" allowBlank="1" showInputMessage="1" showErrorMessage="1" sqref="K12 A5 A1:A2 E2 K7 K54 G6:H105" xr:uid="{B535A2E4-25A0-40D9-8A11-B66468EC5262}"/>
  </dataValidations>
  <hyperlinks>
    <hyperlink ref="E1" location="一覧!R1C1" display="一覧へ" xr:uid="{591D3B97-13B0-403E-9468-3608792FE46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21A9-E063-43C0-8FCE-C8C451990280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移行用中間テーブル</v>
      </c>
      <c r="C1" s="20" t="str">
        <f>SCHEMA_EN</f>
        <v>work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商品ID</v>
      </c>
      <c r="C2" s="20" t="str" cm="1">
        <f t="array" ref="C2">INDEX(一覧!DATA_AREA,TABLE_NO,3)</f>
        <v>gen_product_id</v>
      </c>
      <c r="D2" s="91">
        <v>2</v>
      </c>
      <c r="E2" s="85" t="s">
        <v>53</v>
      </c>
      <c r="F2" s="86" t="s">
        <v>127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99</v>
      </c>
      <c r="AI3" s="7" t="s">
        <v>57</v>
      </c>
      <c r="AQ3" s="114" t="str">
        <f ca="1">IF(AG3,AH3,AQ4)</f>
        <v/>
      </c>
    </row>
    <row r="4" spans="1:43" ht="20">
      <c r="A4" s="10" t="s">
        <v>35</v>
      </c>
      <c r="E4" s="112" t="s">
        <v>82</v>
      </c>
      <c r="K4" s="10" t="s">
        <v>36</v>
      </c>
      <c r="T4" s="65" t="s">
        <v>45</v>
      </c>
      <c r="AF4" s="7" t="s">
        <v>18</v>
      </c>
      <c r="AG4" s="7" t="b">
        <f ca="1">OR(T6:T105)</f>
        <v>0</v>
      </c>
      <c r="AH4" s="7" t="s">
        <v>96</v>
      </c>
      <c r="AI4" s="96" t="s">
        <v>63</v>
      </c>
      <c r="AJ4" s="96" t="s">
        <v>64</v>
      </c>
      <c r="AK4" s="96" t="s">
        <v>7</v>
      </c>
      <c r="AL4" s="96" t="s">
        <v>58</v>
      </c>
      <c r="AM4" s="96" t="s">
        <v>59</v>
      </c>
      <c r="AN4" s="96" t="s">
        <v>60</v>
      </c>
      <c r="AO4" s="96" t="s">
        <v>61</v>
      </c>
      <c r="AP4" s="96" t="s">
        <v>62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97</v>
      </c>
      <c r="AI5" s="56">
        <f>COUNTA(AI6:AI105)</f>
        <v>2</v>
      </c>
      <c r="AJ5" s="66">
        <f>COUNTA(AJ6:AJ105)</f>
        <v>2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116</v>
      </c>
      <c r="C6" s="34" t="str">
        <f ca="1">IFERROR(VLOOKUP(B6,項目!DATA_AREA,2,FALSE),"")</f>
        <v>product_idw</v>
      </c>
      <c r="D6" s="34" t="str">
        <f ca="1">IFERROR(VLOOKUP(B6,項目!DATA_AREA,3,FALSE),"")</f>
        <v>varchar(5)</v>
      </c>
      <c r="E6" s="47">
        <v>1</v>
      </c>
      <c r="F6" s="116" t="s">
        <v>128</v>
      </c>
      <c r="G6" s="37" t="str">
        <f ca="1">IFERROR(VLOOKUP(B6,項目!DATA_AREA,4,FALSE),"")</f>
        <v>(product_idw ~* '^P[0-9]{4}$')</v>
      </c>
      <c r="H6" s="11" t="b">
        <f ca="1">IFERROR(VLOOKUP(B6,項目!DATA_AREA,5,FALSE),"")</f>
        <v>0</v>
      </c>
      <c r="K6" s="50" t="s">
        <v>56</v>
      </c>
      <c r="L6" s="112" t="s">
        <v>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46</v>
      </c>
      <c r="AF6" s="7" t="s">
        <v>21</v>
      </c>
      <c r="AG6" s="119" t="b">
        <v>0</v>
      </c>
      <c r="AH6" s="7" t="s">
        <v>98</v>
      </c>
      <c r="AI6" s="56" t="s">
        <v>125</v>
      </c>
      <c r="AJ6" s="66" t="s">
        <v>125</v>
      </c>
      <c r="AK6" s="95" t="s">
        <v>107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104</v>
      </c>
      <c r="C7" s="35" t="str">
        <f ca="1">IFERROR(VLOOKUP(B7,項目!DATA_AREA,2,FALSE),"")</f>
        <v>product_name</v>
      </c>
      <c r="D7" s="35" t="str">
        <f ca="1">IFERROR(VLOOKUP(B7,項目!DATA_AREA,3,FALSE),"")</f>
        <v>varchar(30)</v>
      </c>
      <c r="E7" s="48">
        <v>1</v>
      </c>
      <c r="F7" s="117" t="s">
        <v>128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89</v>
      </c>
      <c r="AI7" s="56" t="s">
        <v>104</v>
      </c>
      <c r="AJ7" s="66" t="s">
        <v>104</v>
      </c>
      <c r="AK7" s="95"/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116</v>
      </c>
      <c r="M8" s="69"/>
      <c r="N8" s="69"/>
      <c r="O8" s="69"/>
      <c r="P8" s="70"/>
      <c r="R8" s="83" t="str">
        <f>_xlfn.CONCAT(L8:P8)</f>
        <v>商品ID(WORK)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95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90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49</v>
      </c>
      <c r="AG10" s="7" t="b">
        <f ca="1">OR($Y$13:$AC$22)</f>
        <v>0</v>
      </c>
      <c r="AH10" s="7" t="s">
        <v>94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48</v>
      </c>
      <c r="AG11" s="7" t="b">
        <f>OR($AD$13:$AD$22)</f>
        <v>0</v>
      </c>
      <c r="AH11" s="7" t="s">
        <v>88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47</v>
      </c>
      <c r="AD12" s="7" t="s">
        <v>48</v>
      </c>
      <c r="AE12" s="7" t="s">
        <v>71</v>
      </c>
      <c r="AF12" s="7" t="s">
        <v>70</v>
      </c>
      <c r="AG12" s="7" t="b">
        <f ca="1">OR($Y$26:$AC$26,$Y$31:$AC$31,$Y$36:$AC$36,$Y$41:$AC$41,$Y$46:$AC$46)</f>
        <v>0</v>
      </c>
      <c r="AH12" s="7" t="s">
        <v>85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104</v>
      </c>
      <c r="M13" s="73"/>
      <c r="N13" s="73"/>
      <c r="O13" s="73"/>
      <c r="P13" s="74"/>
      <c r="R13" s="83" t="str">
        <f>_xlfn.CONCAT(L13:P13)</f>
        <v>商品名</v>
      </c>
      <c r="T13" s="19" t="b">
        <f t="shared" ca="1" si="0"/>
        <v>0</v>
      </c>
      <c r="U13" s="19" t="b">
        <f t="shared" si="2"/>
        <v>0</v>
      </c>
      <c r="V13" s="19"/>
      <c r="X13" s="7" t="s">
        <v>50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49</v>
      </c>
      <c r="AG13" s="7" t="b">
        <f ca="1">OR($Y$27:$AC$28,$Y$32:$AC$33,$Y$37:$AC$38,$Y$42:$AC$43,$Y$47:$AC$48)</f>
        <v>0</v>
      </c>
      <c r="AH13" s="7" t="s">
        <v>91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51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72</v>
      </c>
      <c r="AG14" s="7" t="b">
        <f>OR($AD$26,$AD$31,$AD$36,$AD$41,$AD$46)</f>
        <v>0</v>
      </c>
      <c r="AH14" s="7" t="s">
        <v>93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48</v>
      </c>
      <c r="AG15" s="7" t="b">
        <f>OR($AD$27,$AD$32,$AD$37,$AD$42,$AD$47)</f>
        <v>0</v>
      </c>
      <c r="AH15" s="7" t="s">
        <v>86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83</v>
      </c>
      <c r="AG16" s="7" t="b">
        <f ca="1">OR($AD$28,$AD$33,$AD$38,$AD$43,$AD$48)</f>
        <v>0</v>
      </c>
      <c r="AH16" s="7" t="s">
        <v>87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49</v>
      </c>
      <c r="AG17" s="7" t="b">
        <f ca="1">OR($Y$55:$AC$64)</f>
        <v>0</v>
      </c>
      <c r="AH17" s="7" t="s">
        <v>92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48</v>
      </c>
      <c r="AG18" s="7" t="b">
        <f>OR($AD$55:$AD$64)</f>
        <v>0</v>
      </c>
      <c r="AH18" s="7" t="s">
        <v>84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69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55</v>
      </c>
      <c r="L25" s="112" t="s">
        <v>81</v>
      </c>
      <c r="T25" s="19" t="b">
        <f t="shared" ca="1" si="0"/>
        <v>0</v>
      </c>
      <c r="U25" s="19" t="b">
        <f t="shared" si="2"/>
        <v>0</v>
      </c>
      <c r="V25" s="19"/>
      <c r="X25" s="7" t="s">
        <v>70</v>
      </c>
      <c r="AD25" s="7" t="s">
        <v>72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74</v>
      </c>
      <c r="L26" s="100"/>
      <c r="M26" s="104" t="s">
        <v>75</v>
      </c>
      <c r="N26" s="100"/>
      <c r="O26" s="104" t="s">
        <v>76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72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50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48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77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51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83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78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74</v>
      </c>
      <c r="L31" s="100"/>
      <c r="M31" s="104" t="s">
        <v>75</v>
      </c>
      <c r="N31" s="100"/>
      <c r="O31" s="104" t="s">
        <v>76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77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78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74</v>
      </c>
      <c r="L36" s="100"/>
      <c r="M36" s="104" t="s">
        <v>75</v>
      </c>
      <c r="N36" s="100"/>
      <c r="O36" s="104" t="s">
        <v>76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77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78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74</v>
      </c>
      <c r="L41" s="100"/>
      <c r="M41" s="104" t="s">
        <v>75</v>
      </c>
      <c r="N41" s="100"/>
      <c r="O41" s="104" t="s">
        <v>76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77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78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74</v>
      </c>
      <c r="L46" s="100"/>
      <c r="M46" s="104" t="s">
        <v>75</v>
      </c>
      <c r="N46" s="100"/>
      <c r="O46" s="104" t="s">
        <v>76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77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78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79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73</v>
      </c>
      <c r="AD54" s="7" t="s">
        <v>48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50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51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36" priority="24">
      <formula>ISERROR(B2)</formula>
    </cfRule>
  </conditionalFormatting>
  <conditionalFormatting sqref="B6:B105">
    <cfRule type="expression" dxfId="35" priority="22">
      <formula>COUNTIF(FIELD_NAME,B6)&gt;1</formula>
    </cfRule>
    <cfRule type="expression" dxfId="34" priority="23">
      <formula>AND($B6&lt;&gt;"",ISNA(MATCH($B6,項目リスト,0)))</formula>
    </cfRule>
  </conditionalFormatting>
  <conditionalFormatting sqref="B6">
    <cfRule type="expression" dxfId="33" priority="21">
      <formula>$AI$6="N/A"</formula>
    </cfRule>
  </conditionalFormatting>
  <conditionalFormatting sqref="D1">
    <cfRule type="cellIs" dxfId="32" priority="20" operator="greaterThan">
      <formula>0</formula>
    </cfRule>
  </conditionalFormatting>
  <conditionalFormatting sqref="L8:P8">
    <cfRule type="expression" dxfId="31" priority="26">
      <formula>Y8</formula>
    </cfRule>
    <cfRule type="expression" dxfId="30" priority="27">
      <formula>Y7</formula>
    </cfRule>
  </conditionalFormatting>
  <conditionalFormatting sqref="L13:P22">
    <cfRule type="expression" dxfId="29" priority="18">
      <formula>Y13</formula>
    </cfRule>
    <cfRule type="expression" dxfId="28" priority="19">
      <formula>$AD13</formula>
    </cfRule>
  </conditionalFormatting>
  <conditionalFormatting sqref="L8">
    <cfRule type="expression" dxfId="27" priority="25">
      <formula>$AG$7</formula>
    </cfRule>
  </conditionalFormatting>
  <conditionalFormatting sqref="L55:P64">
    <cfRule type="expression" dxfId="26" priority="16">
      <formula>Y55</formula>
    </cfRule>
    <cfRule type="expression" dxfId="25" priority="17">
      <formula>$AD55</formula>
    </cfRule>
  </conditionalFormatting>
  <conditionalFormatting sqref="L43:P44">
    <cfRule type="expression" dxfId="24" priority="15">
      <formula>Y42</formula>
    </cfRule>
  </conditionalFormatting>
  <conditionalFormatting sqref="L43:P43">
    <cfRule type="expression" dxfId="23" priority="13">
      <formula>$AD42</formula>
    </cfRule>
    <cfRule type="expression" dxfId="22" priority="29">
      <formula>Y41</formula>
    </cfRule>
  </conditionalFormatting>
  <conditionalFormatting sqref="L43">
    <cfRule type="expression" dxfId="21" priority="14">
      <formula>$AD41</formula>
    </cfRule>
  </conditionalFormatting>
  <conditionalFormatting sqref="L28:P29 L33:P34 L38:P39 L48:P49 L43:P44">
    <cfRule type="expression" dxfId="20" priority="30">
      <formula>Y27</formula>
    </cfRule>
  </conditionalFormatting>
  <conditionalFormatting sqref="L29:P29 L34:P34 L39:P39 L49:P49">
    <cfRule type="expression" dxfId="19" priority="31">
      <formula>$AD27</formula>
    </cfRule>
    <cfRule type="expression" dxfId="18" priority="32">
      <formula>Y26</formula>
    </cfRule>
  </conditionalFormatting>
  <conditionalFormatting sqref="L28 L33 L38 L48 L43">
    <cfRule type="expression" dxfId="17" priority="33">
      <formula>$AD26</formula>
    </cfRule>
  </conditionalFormatting>
  <conditionalFormatting sqref="L44:P44">
    <cfRule type="expression" dxfId="16" priority="34">
      <formula>$AD42</formula>
    </cfRule>
    <cfRule type="expression" dxfId="15" priority="35">
      <formula>Y41</formula>
    </cfRule>
  </conditionalFormatting>
  <conditionalFormatting sqref="L28:P28 L33:P33 L38:P38 L43:P43 L48:P48">
    <cfRule type="expression" dxfId="14" priority="12">
      <formula>$AD27</formula>
    </cfRule>
    <cfRule type="expression" dxfId="13" priority="28">
      <formula>Y26</formula>
    </cfRule>
  </conditionalFormatting>
  <conditionalFormatting sqref="K56">
    <cfRule type="expression" dxfId="12" priority="10">
      <formula>X56</formula>
    </cfRule>
    <cfRule type="expression" dxfId="11" priority="11">
      <formula>$AD56</formula>
    </cfRule>
  </conditionalFormatting>
  <conditionalFormatting sqref="K58">
    <cfRule type="expression" dxfId="10" priority="8">
      <formula>X58</formula>
    </cfRule>
    <cfRule type="expression" dxfId="9" priority="9">
      <formula>$AD58</formula>
    </cfRule>
  </conditionalFormatting>
  <conditionalFormatting sqref="K60">
    <cfRule type="expression" dxfId="8" priority="6">
      <formula>X60</formula>
    </cfRule>
    <cfRule type="expression" dxfId="7" priority="7">
      <formula>$AD60</formula>
    </cfRule>
  </conditionalFormatting>
  <conditionalFormatting sqref="K62">
    <cfRule type="expression" dxfId="6" priority="4">
      <formula>X62</formula>
    </cfRule>
    <cfRule type="expression" dxfId="5" priority="5">
      <formula>$AD62</formula>
    </cfRule>
  </conditionalFormatting>
  <conditionalFormatting sqref="K64">
    <cfRule type="expression" dxfId="4" priority="2">
      <formula>X64</formula>
    </cfRule>
    <cfRule type="expression" dxfId="3" priority="3">
      <formula>$AD64</formula>
    </cfRule>
  </conditionalFormatting>
  <conditionalFormatting sqref="L29:P29 L34:P34 L39:P39 L44:P44 L49:P49">
    <cfRule type="expression" dxfId="2" priority="1">
      <formula>$AD28</formula>
    </cfRule>
  </conditionalFormatting>
  <conditionalFormatting sqref="E6">
    <cfRule type="expression" dxfId="1" priority="36" stopIfTrue="1">
      <formula>RC22</formula>
    </cfRule>
  </conditionalFormatting>
  <conditionalFormatting sqref="E7">
    <cfRule type="expression" dxfId="0" priority="37" stopIfTrue="1">
      <formula>RC22</formula>
    </cfRule>
  </conditionalFormatting>
  <dataValidations count="16">
    <dataValidation imeMode="off" allowBlank="1" showInputMessage="1" showErrorMessage="1" sqref="D5:F5 C2 F6:F105" xr:uid="{132483A3-2D85-4A21-926D-7A209D89AA13}"/>
    <dataValidation type="whole" imeMode="off" operator="equal" allowBlank="1" showInputMessage="1" showErrorMessage="1" error="DESC指定の場合に‐1を入力" sqref="L56:P56 L58:P58 L60:P60 L62:P62 L64:P64" xr:uid="{8ECEA7A1-4FFB-454E-9D4B-D1B6F07744F4}">
      <formula1>-1</formula1>
    </dataValidation>
    <dataValidation type="whole" imeMode="off" operator="equal" allowBlank="1" showInputMessage="1" showErrorMessage="1" error="Unique indexの場合に1を入力" sqref="K56 K58 K60 K62 K64" xr:uid="{E9372BE9-0D8E-4B52-9E1E-FACF5D642389}">
      <formula1>1</formula1>
    </dataValidation>
    <dataValidation type="list" allowBlank="1" showInputMessage="1" showErrorMessage="1" sqref="N26 P26 N31 P31 N36 P36 N41 P41 N46 P46" xr:uid="{4B2D5F43-6C5C-4820-A138-1A92102E9685}">
      <formula1>FK_OPTION</formula1>
    </dataValidation>
    <dataValidation type="list" allowBlank="1" showInputMessage="1" showErrorMessage="1" sqref="L49:P49" xr:uid="{669DCF11-4808-4132-AEA0-8F0B3DFBF2AF}">
      <formula1>FK_FIELD_5</formula1>
    </dataValidation>
    <dataValidation type="list" allowBlank="1" showInputMessage="1" showErrorMessage="1" sqref="L44:P44" xr:uid="{ABB71B25-78FF-433F-8454-EE4850E1D8C6}">
      <formula1>FK_FIELD_4</formula1>
    </dataValidation>
    <dataValidation type="list" allowBlank="1" showInputMessage="1" showErrorMessage="1" sqref="L39:P39" xr:uid="{E04739CB-5D9C-4934-9CD3-833F70766CC3}">
      <formula1>FK_FIELD_3</formula1>
    </dataValidation>
    <dataValidation type="list" allowBlank="1" showInputMessage="1" showErrorMessage="1" sqref="L34:P34" xr:uid="{8BE588A0-B31B-4D53-9FA3-59C0397BBF45}">
      <formula1>FK_FIELD_2</formula1>
    </dataValidation>
    <dataValidation type="list" allowBlank="1" showInputMessage="1" showErrorMessage="1" sqref="L29:P29" xr:uid="{06C321C5-93B1-4D51-AA4F-44AC373A9439}">
      <formula1>FK_FIELD_1</formula1>
    </dataValidation>
    <dataValidation type="list" allowBlank="1" showInputMessage="1" showErrorMessage="1" sqref="L26 L31 L36 L41 L46" xr:uid="{F4B66FD4-1974-48FB-B6F8-6033C2D5F189}">
      <formula1>TABLEリスト</formula1>
    </dataValidation>
    <dataValidation type="list" allowBlank="1" showInputMessage="1" showErrorMessage="1" sqref="F2" xr:uid="{900A322C-9A71-4AA1-B137-16F0F86FF6AF}">
      <formula1>"○,-"</formula1>
    </dataValidation>
    <dataValidation type="list" allowBlank="1" showInputMessage="1" showErrorMessage="1" sqref="L13:P22 L43:P43 L48:P48 L33:P33 L38:P38 L28:P28 L55:P55 L57:P57 L59:P59 L61:P61 L63:P63" xr:uid="{E9D56C02-D3DC-4D05-9180-22E81AC0F573}">
      <formula1>FIELDリスト</formula1>
    </dataValidation>
    <dataValidation type="list" allowBlank="1" showInputMessage="1" showErrorMessage="1" sqref="L8:P8" xr:uid="{4AC8482F-792C-4C0C-A53C-CDE5D8D0C6FB}">
      <formula1>FIELDリストNN</formula1>
    </dataValidation>
    <dataValidation type="whole" imeMode="off" operator="equal" allowBlank="1" showInputMessage="1" showErrorMessage="1" error="NotNullの場合は[1]を入力する。" sqref="E6:E105" xr:uid="{8E5900DA-EE3C-48D3-AE6B-20786418211C}">
      <formula1>1</formula1>
    </dataValidation>
    <dataValidation type="list" allowBlank="1" showInputMessage="1" showErrorMessage="1" sqref="B6:B105" xr:uid="{CBA7B901-4370-4F0F-A9D6-2C0A02892554}">
      <formula1>項目リスト</formula1>
    </dataValidation>
    <dataValidation imeMode="on" allowBlank="1" showInputMessage="1" showErrorMessage="1" sqref="K12 A5 A1:A2 E2 K7 K54 G6:H105" xr:uid="{A4E0060C-639B-43BF-A2BC-3090E0EBC548}"/>
  </dataValidations>
  <hyperlinks>
    <hyperlink ref="E1" location="一覧!R1C1" display="一覧へ" xr:uid="{15BC122D-511F-4E6D-9AB2-FC2ED359E3E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43</v>
      </c>
      <c r="C5" t="s">
        <v>52</v>
      </c>
      <c r="E5" t="s">
        <v>65</v>
      </c>
    </row>
    <row r="6" spans="1:8">
      <c r="A6" s="64" t="s">
        <v>120</v>
      </c>
      <c r="C6" s="84"/>
    </row>
    <row r="7" spans="1:8">
      <c r="E7" s="97" t="s">
        <v>66</v>
      </c>
    </row>
    <row r="8" spans="1:8">
      <c r="A8" t="s">
        <v>44</v>
      </c>
      <c r="E8" s="97" t="s">
        <v>67</v>
      </c>
    </row>
    <row r="9" spans="1:8">
      <c r="A9" s="64" t="s">
        <v>121</v>
      </c>
      <c r="E9" s="97" t="s">
        <v>68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70</vt:i4>
      </vt:variant>
    </vt:vector>
  </HeadingPairs>
  <TitlesOfParts>
    <vt:vector size="76" baseType="lpstr">
      <vt:lpstr>項目</vt:lpstr>
      <vt:lpstr>一覧</vt:lpstr>
      <vt:lpstr>テンプレート</vt:lpstr>
      <vt:lpstr>受注番号</vt:lpstr>
      <vt:lpstr>商品ID</vt:lpstr>
      <vt:lpstr>WORK</vt:lpstr>
      <vt:lpstr>一覧!DATA_AREA</vt:lpstr>
      <vt:lpstr>一覧!DATA_AREA_JP</vt:lpstr>
      <vt:lpstr>テンプレート!ERRORS</vt:lpstr>
      <vt:lpstr>一覧!ERRORS</vt:lpstr>
      <vt:lpstr>受注番号!ERRORS</vt:lpstr>
      <vt:lpstr>商品ID!ERRORS</vt:lpstr>
      <vt:lpstr>テンプレート!FIELD_AREA</vt:lpstr>
      <vt:lpstr>受注番号!FIELD_AREA</vt:lpstr>
      <vt:lpstr>商品ID!FIELD_AREA</vt:lpstr>
      <vt:lpstr>テンプレート!FIELD_COUNT</vt:lpstr>
      <vt:lpstr>受注番号!FIELD_COUNT</vt:lpstr>
      <vt:lpstr>商品ID!FIELD_COUNT</vt:lpstr>
      <vt:lpstr>テンプレート!FIELD_COUNT_NN</vt:lpstr>
      <vt:lpstr>受注番号!FIELD_COUNT_NN</vt:lpstr>
      <vt:lpstr>商品ID!FIELD_COUNT_NN</vt:lpstr>
      <vt:lpstr>テンプレート!FIELD_NAME</vt:lpstr>
      <vt:lpstr>受注番号!FIELD_NAME</vt:lpstr>
      <vt:lpstr>商品ID!FIELD_NAME</vt:lpstr>
      <vt:lpstr>テンプレート!FIELD_NN</vt:lpstr>
      <vt:lpstr>受注番号!FIELD_NN</vt:lpstr>
      <vt:lpstr>商品ID!FIELD_NN</vt:lpstr>
      <vt:lpstr>テンプレート!FK_ENABLE_1</vt:lpstr>
      <vt:lpstr>受注番号!FK_ENABLE_1</vt:lpstr>
      <vt:lpstr>商品ID!FK_ENABLE_1</vt:lpstr>
      <vt:lpstr>テンプレート!FK_ENABLE_2</vt:lpstr>
      <vt:lpstr>受注番号!FK_ENABLE_2</vt:lpstr>
      <vt:lpstr>商品ID!FK_ENABLE_2</vt:lpstr>
      <vt:lpstr>テンプレート!FK_ENABLE_3</vt:lpstr>
      <vt:lpstr>受注番号!FK_ENABLE_3</vt:lpstr>
      <vt:lpstr>商品ID!FK_ENABLE_3</vt:lpstr>
      <vt:lpstr>テンプレート!FK_ENABLE_4</vt:lpstr>
      <vt:lpstr>受注番号!FK_ENABLE_4</vt:lpstr>
      <vt:lpstr>商品ID!FK_ENABLE_4</vt:lpstr>
      <vt:lpstr>テンプレート!FK_ENABLE_5</vt:lpstr>
      <vt:lpstr>受注番号!FK_ENABLE_5</vt:lpstr>
      <vt:lpstr>商品ID!FK_ENABLE_5</vt:lpstr>
      <vt:lpstr>FK_OPTION</vt:lpstr>
      <vt:lpstr>テンプレート!IS_MASTER</vt:lpstr>
      <vt:lpstr>受注番号!IS_MASTER</vt:lpstr>
      <vt:lpstr>商品ID!IS_MASTER</vt:lpstr>
      <vt:lpstr>テンプレート!PK_AREA</vt:lpstr>
      <vt:lpstr>受注番号!PK_AREA</vt:lpstr>
      <vt:lpstr>商品ID!PK_AREA</vt:lpstr>
      <vt:lpstr>SCHEMA_EN</vt:lpstr>
      <vt:lpstr>SCHEMA_JP</vt:lpstr>
      <vt:lpstr>テンプレート!TABLE_AREA</vt:lpstr>
      <vt:lpstr>受注番号!TABLE_AREA</vt:lpstr>
      <vt:lpstr>商品ID!TABLE_AREA</vt:lpstr>
      <vt:lpstr>テンプレート!TABLE_COUNT</vt:lpstr>
      <vt:lpstr>受注番号!TABLE_COUNT</vt:lpstr>
      <vt:lpstr>商品ID!TABLE_COUNT</vt:lpstr>
      <vt:lpstr>テンプレート!TABLE_EN</vt:lpstr>
      <vt:lpstr>受注番号!TABLE_EN</vt:lpstr>
      <vt:lpstr>商品ID!TABLE_EN</vt:lpstr>
      <vt:lpstr>テンプレート!TABLE_JP</vt:lpstr>
      <vt:lpstr>受注番号!TABLE_JP</vt:lpstr>
      <vt:lpstr>商品ID!TABLE_JP</vt:lpstr>
      <vt:lpstr>テンプレート!TABLE_NO</vt:lpstr>
      <vt:lpstr>受注番号!TABLE_NO</vt:lpstr>
      <vt:lpstr>商品ID!TABLE_NO</vt:lpstr>
      <vt:lpstr>テンプレート!UNIQUE_AREA</vt:lpstr>
      <vt:lpstr>受注番号!UNIQUE_AREA</vt:lpstr>
      <vt:lpstr>商品ID!UNIQUE_AREA</vt:lpstr>
      <vt:lpstr>テンプレート!UNIQUE_EXIST</vt:lpstr>
      <vt:lpstr>受注番号!UNIQUE_EXIST</vt:lpstr>
      <vt:lpstr>商品ID!UNIQUE_EXIST</vt:lpstr>
      <vt:lpstr>テンプレート!UNIQUE_LIST</vt:lpstr>
      <vt:lpstr>受注番号!UNIQUE_LIST</vt:lpstr>
      <vt:lpstr>商品ID!UNIQUE_LIST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2025-01-18T14:14:05Z</dcterms:modified>
</cp:coreProperties>
</file>